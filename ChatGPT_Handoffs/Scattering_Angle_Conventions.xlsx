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d87f2b6a6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 roles" sheetId="1" r:id="R24e403d2fb1f49eb"/>
    <x:sheet xmlns:r="http://schemas.openxmlformats.org/officeDocument/2006/relationships" name="IXS roles" sheetId="2" r:id="Rac0ee1fbeca648cc"/>
    <x:sheet xmlns:r="http://schemas.openxmlformats.org/officeDocument/2006/relationships" name="Sample and Greek angles" sheetId="3" r:id="R8ae931685edb4774"/>
    <x:sheet xmlns:r="http://schemas.openxmlformats.org/officeDocument/2006/relationships" name="Frames and calibration" sheetId="4" r:id="R5f39bfda04c44106"/>
    <x:sheet xmlns:r="http://schemas.openxmlformats.org/officeDocument/2006/relationships" name="Common mounting model" sheetId="5" r:id="R7662f3269e21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A3A"/>
      <x:name val="Arial"/>
    </x:font>
    <x:font>
      <x:b/>
      <x:sz val="16"/>
      <x:color rgb="FF173B57"/>
      <x:name val="Arial"/>
    </x:font>
    <x:font>
      <x:i/>
      <x:sz val="10"/>
      <x:color rgb="FF516576"/>
      <x:name val="Arial"/>
    </x:font>
    <x:font>
      <x:b/>
      <x:sz val="10"/>
      <x:color rgb="FFFFFFFF"/>
      <x:name val="Arial"/>
    </x:font>
    <x:font>
      <x:b/>
      <x:sz val="10"/>
      <x:color rgb="FF173B57"/>
      <x:name val="Arial"/>
    </x:font>
    <x:font>
      <x:sz val="10"/>
      <x:color rgb="FF1A5F9A"/>
      <x:name val="Arial"/>
    </x:font>
    <x:font>
      <x:sz val="10"/>
      <x:color rgb="FF51657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45F"/>
      </x:patternFill>
    </x:fill>
    <x:fill>
      <x:patternFill patternType="solid">
        <x:fgColor rgb="FFFFFFFF"/>
      </x:patternFill>
    </x:fill>
    <x:fill>
      <x:patternFill patternType="solid">
        <x:fgColor rgb="FFF0F5F8"/>
      </x:patternFill>
    </x:fill>
    <x:fill>
      <x:patternFill patternType="solid">
        <x:fgColor rgb="FFF7F9FB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EBFCD"/>
      </x:bottom>
      <x:diagonal/>
    </x:border>
    <x:border>
      <x:left/>
      <x:right style="thin">
        <x:color rgb="FFFFFFFF"/>
      </x:right>
      <x:top/>
      <x:bottom style="medium">
        <x:color rgb="FF173B57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B57"/>
      </x:bottom>
      <x:diagonal/>
    </x:border>
    <x:border>
      <x:left style="thin">
        <x:color rgb="FFFFFFFF"/>
      </x:left>
      <x:right/>
      <x:top/>
      <x:bottom style="medium">
        <x:color rgb="FF173B57"/>
      </x:bottom>
      <x:diagonal/>
    </x:border>
    <x:border>
      <x:left/>
      <x:right/>
      <x:top/>
      <x:bottom style="thin">
        <x:color rgb="FFDDE6ED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4995772b34539" /><Relationship Type="http://schemas.openxmlformats.org/officeDocument/2006/relationships/theme" Target="/xl/theme/theme1.xml" Id="R7dc8168e31744ed7" /><Relationship Type="http://schemas.openxmlformats.org/officeDocument/2006/relationships/sharedStrings" Target="/xl/sharedStrings.xml" Id="Rfcd532f5a314402d" /><Relationship Type="http://schemas.openxmlformats.org/officeDocument/2006/relationships/worksheet" Target="/xl/worksheets/sheet1.xml" Id="R24e403d2fb1f49eb" /><Relationship Type="http://schemas.openxmlformats.org/officeDocument/2006/relationships/worksheet" Target="/xl/worksheets/sheet2.xml" Id="Rac0ee1fbeca648cc" /><Relationship Type="http://schemas.openxmlformats.org/officeDocument/2006/relationships/worksheet" Target="/xl/worksheets/sheet3.xml" Id="R8ae931685edb4774" /><Relationship Type="http://schemas.openxmlformats.org/officeDocument/2006/relationships/worksheet" Target="/xl/worksheets/sheet4.xml" Id="R5f39bfda04c44106" /><Relationship Type="http://schemas.openxmlformats.org/officeDocument/2006/relationships/worksheet" Target="/xl/worksheets/sheet5.xml" Id="R7662f3269e21419d" /></Relationships>
</file>

<file path=xl/tables/table1.xml><?xml version="1.0" encoding="utf-8"?>
<x:table xmlns:x="http://schemas.openxmlformats.org/spreadsheetml/2006/main" id="1" name="TASTable" displayName="TASTable" ref="A5:M21" headerRowCount="1" totalsRowCount="0" totalsRowShown="0">
  <x:autoFilter ref="A5:M21"/>
  <x:tableColumns count="13">
    <x:tableColumn id="1" name="Facility / scope"/>
    <x:tableColumn id="2" name="Mono crystal θM"/>
    <x:tableColumn id="3" name="Mono deflection 2θM"/>
    <x:tableColumn id="4" name="Sample rotation"/>
    <x:tableColumn id="5" name="Sample scattering 2θS"/>
    <x:tableColumn id="6" name="Analyzer crystal θA"/>
    <x:tableColumn id="7" name="Analyzer deflection 2θA"/>
    <x:tableColumn id="8" name="Evidence and qualification"/>
    <x:tableColumn id="9" name="Evidence"/>
    <x:tableColumn id="10" name="Source 1"/>
    <x:tableColumn id="11" name="Source 2"/>
    <x:tableColumn id="12" name="Source 3"/>
    <x:tableColumn id="13" name="Source 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XSTable" displayName="IXSTable" ref="A5:M8" headerRowCount="1" totalsRowCount="0" totalsRowShown="0">
  <x:autoFilter ref="A5:M8"/>
  <x:tableColumns count="13">
    <x:tableColumn id="1" name="Beamline / scope"/>
    <x:tableColumn id="2" name="Incident-energy optics"/>
    <x:tableColumn id="3" name="Mono θ / 2θ interpretation"/>
    <x:tableColumn id="4" name="Sample rotations and tilts"/>
    <x:tableColumn id="5" name="Sample scattering direction"/>
    <x:tableColumn id="6" name="Analyzer θ / 2θ interpretation"/>
    <x:tableColumn id="7" name="Energy scan / important distinction"/>
    <x:tableColumn id="8" name="Evidence"/>
    <x:tableColumn id="9" name="Source 1"/>
    <x:tableColumn id="10" name="Source 2"/>
    <x:tableColumn id="11" name="Source 3"/>
    <x:tableColumn id="12" name="Source 4"/>
    <x:tableColumn id="13" name="Source 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mpleTable" displayName="SampleTable" ref="A5:J25" headerRowCount="1" totalsRowCount="0" totalsRowShown="0">
  <x:autoFilter ref="A5:J25"/>
  <x:tableColumns count="10">
    <x:tableColumn id="1" name="Context"/>
    <x:tableColumn id="2" name="Name(s)"/>
    <x:tableColumn id="3" name="Kind and physical meaning"/>
    <x:tableColumn id="4" name="Axis / attachment / reference"/>
    <x:tableColumn id="5" name="Interpretation limit"/>
    <x:tableColumn id="6" name="Evidence"/>
    <x:tableColumn id="7" name="Source 1"/>
    <x:tableColumn id="8" name="Source 2"/>
    <x:tableColumn id="9" name="Source 3"/>
    <x:tableColumn id="10" name="Source 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amesTable" displayName="FramesTable" ref="A5:J18" headerRowCount="1" totalsRowCount="0" totalsRowShown="0">
  <x:autoFilter ref="A5:J18"/>
  <x:tableColumns count="10">
    <x:tableColumn id="1" name="Context"/>
    <x:tableColumn id="2" name="Frame / positive sense"/>
    <x:tableColumn id="3" name="Zero, coupling and wrapping"/>
    <x:tableColumn id="4" name="What to preserve in an adapter"/>
    <x:tableColumn id="5" name="Evidence"/>
    <x:tableColumn id="6" name="Source 1"/>
    <x:tableColumn id="7" name="Source 2"/>
    <x:tableColumn id="8" name="Source 3"/>
    <x:tableColumn id="9" name="Source 4"/>
    <x:tableColumn id="10" name="Source 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untTable" displayName="MountTable" ref="A5:I15" headerRowCount="1" totalsRowCount="0" totalsRowShown="0">
  <x:autoFilter ref="A5:I15"/>
  <x:tableColumns count="9">
    <x:tableColumn id="1" name="Item"/>
    <x:tableColumn id="2" name="Common representation"/>
    <x:tableColumn id="3" name="Why it is needed"/>
    <x:tableColumn id="4" name="Instrument example / implementation rule"/>
    <x:tableColumn id="5" name="Evidence"/>
    <x:tableColumn id="6" name="Source 1"/>
    <x:tableColumn id="7" name="Source 2"/>
    <x:tableColumn id="8" name="Source 3"/>
    <x:tableColumn id="9" name="Source 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74831b218948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de3fda48ee44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4810e243b24d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8be41f184641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78fdfd089041f9" /></Relationships>
</file>

<file path=xl/worksheets/sheet1.xml><?xml version="1.0" encoding="utf-8"?>
<x:worksheet xmlns:x="http://schemas.openxmlformats.org/spreadsheetml/2006/main">
  <x:sheetPr>
    <x:tabColor rgb="FF2544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.889999389648438" hidden="0" customWidth="1"/>
    <x:col min="2" max="2" width="17.780000686645508" hidden="0" customWidth="1"/>
    <x:col min="3" max="3" width="18.889999389648438" hidden="0" customWidth="1"/>
    <x:col min="4" max="4" width="21.670000076293945" hidden="0" customWidth="1"/>
    <x:col min="5" max="5" width="21.670000076293945" hidden="0" customWidth="1"/>
    <x:col min="6" max="6" width="19.440000534057617" hidden="0" customWidth="1"/>
    <x:col min="7" max="7" width="21.110000610351562" hidden="0" customWidth="1"/>
    <x:col min="8" max="8" width="48.88999938964844" hidden="0" customWidth="1"/>
    <x:col min="9" max="9" width="12.220000267028809" hidden="0" customWidth="1"/>
    <x:col min="10" max="10" width="34.439998626708984" hidden="0" customWidth="1"/>
    <x:col min="11" max="11" width="34.439998626708984" hidden="0" customWidth="1"/>
    <x:col min="12" max="12" width="34.439998626708984" hidden="0" customWidth="1"/>
    <x:col min="13" max="13" width="34.4399986267089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5" t="str">
        <x:v>TAS angle names by physical role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Instrument and software scope matter. NV = not verified in the recovered primary evidence; N/A = role not applicable to the stated layout.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3"/>
      <x:c r="K4" s="3"/>
      <x:c r="L4" s="3"/>
      <x:c r="M4" s="3"/>
    </x:row>
    <x:row r="5" ht="44" customHeight="1">
      <x:c r="A5" s="12" t="str">
        <x:v>Facility / scope</x:v>
      </x:c>
      <x:c r="B5" s="13" t="str">
        <x:v>Mono crystal θM</x:v>
      </x:c>
      <x:c r="C5" s="13" t="str">
        <x:v>Mono deflection 2θM</x:v>
      </x:c>
      <x:c r="D5" s="13" t="str">
        <x:v>Sample rotation</x:v>
      </x:c>
      <x:c r="E5" s="13" t="str">
        <x:v>Sample scattering 2θS</x:v>
      </x:c>
      <x:c r="F5" s="13" t="str">
        <x:v>Analyzer crystal θA</x:v>
      </x:c>
      <x:c r="G5" s="13" t="str">
        <x:v>Analyzer deflection 2θA</x:v>
      </x:c>
      <x:c r="H5" s="13" t="str">
        <x:v>Evidence and qualification</x:v>
      </x:c>
      <x:c r="I5" s="13" t="str">
        <x:v>Evidence</x:v>
      </x:c>
      <x:c r="J5" s="13" t="str">
        <x:v>Source 1</x:v>
      </x:c>
      <x:c r="K5" s="13" t="str">
        <x:v>Source 2</x:v>
      </x:c>
      <x:c r="L5" s="13" t="str">
        <x:v>Source 3</x:v>
      </x:c>
      <x:c r="M5" s="14" t="str">
        <x:v>Source 4</x:v>
      </x:c>
    </x:row>
    <x:row r="6" ht="51" customHeight="1">
      <x:c r="A6" s="18" t="str">
        <x:v>Brookhaven / HFBR
PDP-11 control, 1975</x:v>
      </x:c>
      <x:c r="B6" s="17" t="str">
        <x:v>C1*</x:v>
      </x:c>
      <x:c r="C6" s="17" t="str">
        <x:v>A1*</x:v>
      </x:c>
      <x:c r="D6" s="17" t="str">
        <x:v>C2*</x:v>
      </x:c>
      <x:c r="E6" s="17" t="str">
        <x:v>A2*</x:v>
      </x:c>
      <x:c r="F6" s="17" t="str">
        <x:v>C3*</x:v>
      </x:c>
      <x:c r="G6" s="17" t="str">
        <x:v>A3*</x:v>
      </x:c>
      <x:c r="H6" s="17" t="str">
        <x:v>* Role-to-motor-number configuration variables, not angle readouts or literal motor names. The manual drives motor n. A1–A4 historical coordinate scheme: NV.</x:v>
      </x:c>
      <x:c r="I6" s="17" t="str">
        <x:v>R01</x:v>
      </x:c>
      <x:c r="J6" s="19" t="str">
        <x:f>IFERROR(HYPERLINK("https://www.osti.gov/servlets/purl/4187974","R01: R. Pynn and R. Youngblood, PDP-11 Spectrometer Control System, BNL-20195 (June 1975)"),"R01: R. Pynn and R. Youngblood, PDP-11 Spectrometer Control System, BNL-20195 (June 1975)")</x:f>
        <x:v>R01: R. Pynn and R. Youngblood, PDP-11 Spectrometer Control System, BNL-20195 (June 1975)</x:v>
      </x:c>
      <x:c r="K6" s="17" t="str"/>
      <x:c r="L6" s="17" t="str"/>
      <x:c r="M6" s="17" t="str"/>
    </x:row>
    <x:row r="7" ht="51" customHeight="1">
      <x:c r="A7" s="23" t="str">
        <x:v>Brookhaven / HFBR
H5, H7, H8, H9-A handbook, 1983</x:v>
      </x:c>
      <x:c r="B7" s="22" t="str">
        <x:v>NV</x:v>
      </x:c>
      <x:c r="C7" s="22" t="str">
        <x:v>2θM (geometry)</x:v>
      </x:c>
      <x:c r="D7" s="22" t="str">
        <x:v>NV</x:v>
      </x:c>
      <x:c r="E7" s="22" t="str">
        <x:v>2θS (geometry)</x:v>
      </x:c>
      <x:c r="F7" s="22" t="str">
        <x:v>NV</x:v>
      </x:c>
      <x:c r="G7" s="22" t="str">
        <x:v>2θA (geometry)</x:v>
      </x:c>
      <x:c r="H7" s="22" t="str">
        <x:v>Physical scattering notation verified; numbered angle aliases and Greek sample motor names are not supplied. H6-M has a different four-circle sample stage.</x:v>
      </x:c>
      <x:c r="I7" s="22" t="str">
        <x:v>R02</x:v>
      </x:c>
      <x:c r="J7" s="24" t="str">
        <x:f>IFERROR(HYPERLINK("https://www.osti.gov/servlets/purl/5517450","R02: Brookhaven National Laboratory, HFBR Handbook, BNL-24182-Rev. (August 1983)"),"R02: Brookhaven National Laboratory, HFBR Handbook, BNL-24182-Rev. (August 1983)")</x:f>
        <x:v>R02: Brookhaven National Laboratory, HFBR Handbook, BNL-24182-Rev. (August 1983)</x:v>
      </x:c>
      <x:c r="K7" s="22" t="str"/>
      <x:c r="L7" s="22" t="str"/>
      <x:c r="M7" s="22" t="str"/>
    </x:row>
    <x:row r="8" ht="51" customHeight="1">
      <x:c r="A8" s="18" t="str">
        <x:v>ORNL / HFIR
HB1 / HB3, documented SPICE dialect</x:v>
      </x:c>
      <x:c r="B8" s="17" t="str">
        <x:v>m1</x:v>
      </x:c>
      <x:c r="C8" s="17" t="str">
        <x:v>m2</x:v>
      </x:c>
      <x:c r="D8" s="17" t="str">
        <x:v>s1</x:v>
      </x:c>
      <x:c r="E8" s="17" t="str">
        <x:v>s2</x:v>
      </x:c>
      <x:c r="F8" s="17" t="str">
        <x:v>a1</x:v>
      </x:c>
      <x:c r="G8" s="17" t="str">
        <x:v>a2</x:v>
      </x:c>
      <x:c r="H8" s="17" t="str">
        <x:v>Six native roles. Lower/upper sample arcs sgl/sgu. Instrument and user aliases can differ; do not infer every ORNL instrument from this row.</x:v>
      </x:c>
      <x:c r="I8" s="17" t="str">
        <x:v>R03, R04, R05</x:v>
      </x:c>
      <x:c r="J8" s="19" t="str">
        <x:f>IFERROR(HYPERLINK("https://neutron.ornl.gov/spice/howto_alignspectrometer.html","R03: ORNL SPICE, How to align a triple-axis spectrometer"),"R03: ORNL SPICE, How to align a triple-axis spectrometer")</x:f>
        <x:v>R03: ORNL SPICE, How to align a triple-axis spectrometer</x:v>
      </x:c>
      <x:c r="K8" s="19" t="str">
        <x:f>IFERROR(HYPERLINK("https://neutron.ornl.gov/spice/howto_alignsample.html","R04: ORNL SPICE, How to align a single crystal"),"R04: ORNL SPICE, How to align a single crystal")</x:f>
        <x:v>R04: ORNL SPICE, How to align a single crystal</x:v>
      </x:c>
      <x:c r="L8" s="19" t="str">
        <x:f>IFERROR(HYPERLINK("https://neutron.ornl.gov/spice/","R05: ORNL, SPICE official documentation home"),"R05: ORNL, SPICE official documentation home")</x:f>
        <x:v>R05: ORNL, SPICE official documentation home</x:v>
      </x:c>
      <x:c r="M8" s="17" t="str"/>
    </x:row>
    <x:row r="9" ht="51" customHeight="1">
      <x:c r="A9" s="23" t="str">
        <x:v>ILL
MAD / conventional TAS</x:v>
      </x:c>
      <x:c r="B9" s="22" t="str">
        <x:v>A1</x:v>
      </x:c>
      <x:c r="C9" s="22" t="str">
        <x:v>A2</x:v>
      </x:c>
      <x:c r="D9" s="22" t="str">
        <x:v>A3</x:v>
      </x:c>
      <x:c r="E9" s="22" t="str">
        <x:v>A4</x:v>
      </x:c>
      <x:c r="F9" s="22" t="str">
        <x:v>A5</x:v>
      </x:c>
      <x:c r="G9" s="22" t="str">
        <x:v>A6</x:v>
      </x:c>
      <x:c r="H9" s="22" t="str">
        <x:v>Six-angle convention. A3 is sample orientation, not A4/2. ILL auxiliary sample arcs are GL/GU in the 2006 MAD-compatible manual.</x:v>
      </x:c>
      <x:c r="I9" s="22" t="str">
        <x:v>R06, R07</x:v>
      </x:c>
      <x:c r="J9" s="24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K9" s="24" t="str">
        <x:f>IFERROR(HYPERLINK("https://ifit.mccode.org/Applications/ResLibCal/doc/ResLibCal.html","R07: E. Farhi (ILL), ResLibCal manual, 2018"),"R07: E. Farhi (ILL), ResLibCal manual, 2018")</x:f>
        <x:v>R07: E. Farhi (ILL), ResLibCal manual, 2018</x:v>
      </x:c>
      <x:c r="L9" s="22" t="str"/>
      <x:c r="M9" s="22" t="str"/>
    </x:row>
    <x:row r="10" ht="51" customHeight="1">
      <x:c r="A10" s="18" t="str">
        <x:v>MLZ / PUMA
2011 guide; NICOS snapshot 2026</x:v>
      </x:c>
      <x:c r="B10" s="17" t="str">
        <x:v>mth</x:v>
      </x:c>
      <x:c r="C10" s="17" t="str">
        <x:v>mtt</x:v>
      </x:c>
      <x:c r="D10" s="17" t="str">
        <x:v>sth; ψ / psi role</x:v>
      </x:c>
      <x:c r="E10" s="17" t="str">
        <x:v>stt; φ / phi role</x:v>
      </x:c>
      <x:c r="F10" s="17" t="str">
        <x:v>ath</x:v>
      </x:c>
      <x:c r="G10" s="17" t="str">
        <x:v>att</x:v>
      </x:c>
      <x:c r="H10" s="17" t="str">
        <x:v>Same six physical roles as ILL. Raw mth/ath use relative-theta settings. Sample axiscoupling=True; the orientation calculation uses sth + psi0 + stt.</x:v>
      </x:c>
      <x:c r="I10" s="17" t="str">
        <x:v>R08, R09, R10, R11</x:v>
      </x:c>
      <x:c r="J10" s="19" t="str">
        <x:f>IFERROR(HYPERLINK("https://wiki.mlz-garching.de/_media/fopra:puma_manual_eng.pdf","R08: PUMA practical-course manual, 2011"),"R08: PUMA practical-course manual, 2011")</x:f>
        <x:v>R08: PUMA practical-course manual, 2011</x:v>
      </x:c>
      <x:c r="K10" s="19" t="str">
        <x:f>IFERROR(HYPERLINK("https://github.com/mlz-ictrl/nicos/blob/ccee1a45a3981765a2fe64c75bdeff281091e733/nicos_mlz/puma/setups/pumabase.py","R09: MLZ NICOS PUMA base configuration"),"R09: MLZ NICOS PUMA base configuration")</x:f>
        <x:v>R09: MLZ NICOS PUMA base configuration</x:v>
      </x:c>
      <x:c r="L10" s="19" t="str">
        <x:f>IFERROR(HYPERLINK("https://github.com/mlz-ictrl/nicos/blob/ccee1a45a3981765a2fe64c75bdeff281091e733/nicos/devices/tas/mono.py","R10: NICOS monochromator/analyzer angle conversion"),"R10: NICOS monochromator/analyzer angle conversion")</x:f>
        <x:v>R10: NICOS monochromator/analyzer angle conversion</x:v>
      </x:c>
      <x:c r="M10" s="19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</x:row>
    <x:row r="11" ht="51" customHeight="1">
      <x:c r="A11" s="23" t="str">
        <x:v>MLZ / PANDA
2020 guide; NICOS snapshot 2026</x:v>
      </x:c>
      <x:c r="B11" s="22" t="str">
        <x:v>mth</x:v>
      </x:c>
      <x:c r="C11" s="22" t="str">
        <x:v>mtt</x:v>
      </x:c>
      <x:c r="D11" s="22" t="str">
        <x:v>sth; ψ / psi
guide: a3</x:v>
      </x:c>
      <x:c r="E11" s="22" t="str">
        <x:v>stt; φ / phi
guide: a4</x:v>
      </x:c>
      <x:c r="F11" s="22" t="str">
        <x:v>ath</x:v>
      </x:c>
      <x:c r="G11" s="22" t="str">
        <x:v>att</x:v>
      </x:c>
      <x:c r="H11" s="22" t="str">
        <x:v>Guide explicitly gives a3/a4 equivalents. PG mono is relative-theta; default PG analyzer is not. Sample setup retains axiscoupling=False.</x:v>
      </x:c>
      <x:c r="I11" s="22" t="str">
        <x:v>R12, R13, R14, R15</x:v>
      </x:c>
      <x:c r="J11" s="24" t="str">
        <x:f>IFERROR(HYPERLINK("https://wiki.mlz-garching.de/panda:measure:index","R12: PANDA measuring guide (Astrid Schneidewind, modified 5 October 2020)"),"R12: PANDA measuring guide (Astrid Schneidewind, modified 5 October 2020)")</x:f>
        <x:v>R12: PANDA measuring guide (Astrid Schneidewind, modified 5 October 2020)</x:v>
      </x:c>
      <x:c r="K11" s="24" t="str">
        <x:f>IFERROR(HYPERLINK("https://github.com/mlz-ictrl/nicos/blob/ccee1a45a3981765a2fe64c75bdeff281091e733/nicos_mlz/panda/setups/panda.py","R13: MLZ NICOS PANDA setup"),"R13: MLZ NICOS PANDA setup")</x:f>
        <x:v>R13: MLZ NICOS PANDA setup</x:v>
      </x:c>
      <x:c r="L11" s="24" t="str">
        <x:f>IFERROR(HYPERLINK("https://github.com/mlz-ictrl/nicos/blob/ccee1a45a3981765a2fe64c75bdeff281091e733/nicos_mlz/panda/setups/mono_pg.py","R14: MLZ NICOS PANDA PG monochromator"),"R14: MLZ NICOS PANDA PG monochromator")</x:f>
        <x:v>R14: MLZ NICOS PANDA PG monochromator</x:v>
      </x:c>
      <x:c r="M11" s="24" t="str">
        <x:f>IFERROR(HYPERLINK("https://github.com/mlz-ictrl/nicos/blob/ccee1a45a3981765a2fe64c75bdeff281091e733/nicos/devices/tas/spectro.py","R15: NICOS TAS role definitions"),"R15: NICOS TAS role definitions")</x:f>
        <x:v>R15: NICOS TAS role definitions</x:v>
      </x:c>
    </x:row>
    <x:row r="12" ht="51" customHeight="1">
      <x:c r="A12" s="18" t="str">
        <x:v>LLB / Orphée
2003 institutional TAS diagram</x:v>
      </x:c>
      <x:c r="B12" s="17" t="str">
        <x:v>NV</x:v>
      </x:c>
      <x:c r="C12" s="17" t="str">
        <x:v>m (diagram)</x:v>
      </x:c>
      <x:c r="D12" s="17" t="str">
        <x:v>NV</x:v>
      </x:c>
      <x:c r="E12" s="17" t="str">
        <x:v>ψ (diagram)</x:v>
      </x:c>
      <x:c r="F12" s="17" t="str">
        <x:v>NV</x:v>
      </x:c>
      <x:c r="G12" s="17" t="str">
        <x:v>a (diagram)</x:v>
      </x:c>
      <x:c r="H12" s="17" t="str">
        <x:v>m / ψ / a denote the three beam deflections in the brochure. They are geometric symbols; the brochure does not establish a native motor dictionary.</x:v>
      </x:c>
      <x:c r="I12" s="17" t="str">
        <x:v>R16</x:v>
      </x:c>
      <x:c r="J12" s="19" t="str">
        <x:f>IFERROR(HYPERLINK("https://iramis.cea.fr/wp-content/uploads/2024/11/LLB-48pages-fr-2003.pdf","R16: Laboratoire Léon Brillouin, institutional 2003 brochure"),"R16: Laboratoire Léon Brillouin, institutional 2003 brochure")</x:f>
        <x:v>R16: Laboratoire Léon Brillouin, institutional 2003 brochure</x:v>
      </x:c>
      <x:c r="K12" s="17" t="str"/>
      <x:c r="L12" s="17" t="str"/>
      <x:c r="M12" s="17" t="str"/>
    </x:row>
    <x:row r="13" ht="51" customHeight="1">
      <x:c r="A13" s="23" t="str">
        <x:v>LLB / Orphée
First-hand TAS usage, thesis 2018</x:v>
      </x:c>
      <x:c r="B13" s="22" t="str">
        <x:v>NV</x:v>
      </x:c>
      <x:c r="C13" s="22" t="str">
        <x:v>NV</x:v>
      </x:c>
      <x:c r="D13" s="22" t="str">
        <x:v>e1</x:v>
      </x:c>
      <x:c r="E13" s="22" t="str">
        <x:v>NV</x:v>
      </x:c>
      <x:c r="F13" s="22" t="str">
        <x:v>NV</x:v>
      </x:c>
      <x:c r="G13" s="22" t="str">
        <x:v>NV</x:v>
      </x:c>
      <x:c r="H13" s="22" t="str">
        <x:v>Thesis explicitly identifies e1 as the sample stage, corresponding by role to ILL A3 and FRM-II psi. The remaining motor names are not established by this passage.</x:v>
      </x:c>
      <x:c r="I13" s="22" t="str">
        <x:v>R17</x:v>
      </x:c>
      <x:c r="J13" s="24" t="str">
        <x:f>IFERROR(HYPERLINK("https://kups.ub.uni-koeln.de/9182/1/PhD_wasser%20_Druck.pdf","R17: Florian Tim Waßer, Magnetic Excitations in Iron-based Superconductors, University of Cologne, 2018"),"R17: Florian Tim Waßer, Magnetic Excitations in Iron-based Superconductors, University of Cologne, 2018")</x:f>
        <x:v>R17: Florian Tim Waßer, Magnetic Excitations in Iron-based Superconductors, University of Cologne, 2018</x:v>
      </x:c>
      <x:c r="K13" s="22" t="str"/>
      <x:c r="L13" s="22" t="str"/>
      <x:c r="M13" s="22" t="str"/>
    </x:row>
    <x:row r="14" ht="64.5" customHeight="1">
      <x:c r="A14" s="18" t="str">
        <x:v>Berlin / BER II
V2 FLEXX, conventional TAS, 2015</x:v>
      </x:c>
      <x:c r="B14" s="17" t="str">
        <x:v>NV</x:v>
      </x:c>
      <x:c r="C14" s="17" t="str">
        <x:v>2ΘM (geometry);
A2 role NV</x:v>
      </x:c>
      <x:c r="D14" s="17" t="str">
        <x:v>A3</x:v>
      </x:c>
      <x:c r="E14" s="17" t="str">
        <x:v>A4; 2ΘS</x:v>
      </x:c>
      <x:c r="F14" s="17" t="str">
        <x:v>A5; Ω rocking plot</x:v>
      </x:c>
      <x:c r="G14" s="17" t="str">
        <x:v>2ΘA (geometry);
A6 role NV</x:v>
      </x:c>
      <x:c r="H14" s="17" t="str">
        <x:v>A3/A4/A5 roles explicitly documented. A1/A2/A6 appear in published headers, but the retrieved Berlin sources did not independently define those roles. TASMAD control.</x:v>
      </x:c>
      <x:c r="I14" s="17" t="str">
        <x:v>R18, R19, R20</x:v>
      </x:c>
      <x:c r="J14" s="19" t="str">
        <x:f>IFERROR(HYPERLINK("https://www.helmholtz-berlin.de/pubbin/oai_publication?ID=86367&amp;VT=1","R18: Habicht et al., The upgraded cold neutron triple-axis spectrometer FLEXX – enhanced capabilities by new instrumental options, EPJ Web Conf. 83, 03007 (2015)"),"R18: Habicht et al., The upgraded cold neutron triple-axis spectrometer FLEXX – enhanced capabilities by new instrumental options, EPJ Web Conf. 83, 03007 (2015)")</x:f>
        <x:v>R18: Habicht et al., The upgraded cold neutron triple-axis spectrometer FLEXX – enhanced capabilities by new instrumental options, EPJ Web Conf. 83, 03007 (2015)</x:v>
      </x:c>
      <x:c r="K14" s="19" t="str">
        <x:f>IFERROR(HYPERLINK("https://www.helmholtz-berlin.de/pubbin/igama_output?gid=1710&amp;modus=einzel&amp;sprache=de","R19: HZB V2/FLEXX official instrument specification"),"R19: HZB V2/FLEXX official instrument specification")</x:f>
        <x:v>R19: HZB V2/FLEXX official instrument specification</x:v>
      </x:c>
      <x:c r="L14" s="19" t="str">
        <x:f>IFERROR(HYPERLINK("https://www.helmholtz-berlin.de/media/media/user/experimental-facilities-bessy-ii-and-ber-ii.pdf","R20: Experimental Facilities at BESSY II and BER II"),"R20: Experimental Facilities at BESSY II and BER II")</x:f>
        <x:v>R20: Experimental Facilities at BESSY II and BER II</x:v>
      </x:c>
      <x:c r="M14" s="17" t="str"/>
    </x:row>
    <x:row r="15" ht="64.5" customHeight="1">
      <x:c r="A15" s="23" t="str">
        <x:v>Berlin / BER II
MultiFLEXX module, 2017</x:v>
      </x:c>
      <x:c r="B15" s="22" t="str">
        <x:v>NV native alias</x:v>
      </x:c>
      <x:c r="C15" s="22" t="str">
        <x:v>NV native alias</x:v>
      </x:c>
      <x:c r="D15" s="22" t="str">
        <x:v>A3</x:v>
      </x:c>
      <x:c r="E15" s="22" t="str">
        <x:v>A4 module position + channel offset</x:v>
      </x:c>
      <x:c r="F15" s="22" t="str">
        <x:v>Fixed crystal analyzer channels</x:v>
      </x:c>
      <x:c r="G15" s="22" t="str">
        <x:v>Fixed channel geometry</x:v>
      </x:c>
      <x:c r="H15" s="22" t="str">
        <x:v>Multiplex mode has five final-energy channels per angular segment. A4 positions the module; it is not the scattering angle of every channel. No single scanned analyzer θ/2θ pair.</x:v>
      </x:c>
      <x:c r="I15" s="22" t="str">
        <x:v>R21</x:v>
      </x:c>
      <x:c r="J15" s="24" t="str">
        <x:f>IFERROR(HYPERLINK("https://www.nature.com/articles/s41598-017-14046-z","R21: Groitl et al., MultiFLEXX - The new multi-analyzer at the cold triple-axis spectrometer FLEXX, Scientific Reports 7, 13637 (2017)"),"R21: Groitl et al., MultiFLEXX - The new multi-analyzer at the cold triple-axis spectrometer FLEXX, Scientific Reports 7, 13637 (2017)")</x:f>
        <x:v>R21: Groitl et al., MultiFLEXX - The new multi-analyzer at the cold triple-axis spectrometer FLEXX, Scientific Reports 7, 13637 (2017)</x:v>
      </x:c>
      <x:c r="K15" s="22" t="str"/>
      <x:c r="L15" s="22" t="str"/>
      <x:c r="M15" s="22" t="str"/>
    </x:row>
    <x:row r="16" ht="51" customHeight="1">
      <x:c r="A16" s="18" t="str">
        <x:v>Japan / JRR-3 reactor
GPTAS, PONTA, TOPAN / FILMAN</x:v>
      </x:c>
      <x:c r="B16" s="17" t="str">
        <x:v>C1</x:v>
      </x:c>
      <x:c r="C16" s="17" t="str">
        <x:v>A1</x:v>
      </x:c>
      <x:c r="D16" s="17" t="str">
        <x:v>C2; ω scan wording</x:v>
      </x:c>
      <x:c r="E16" s="17" t="str">
        <x:v>A2</x:v>
      </x:c>
      <x:c r="F16" s="17" t="str">
        <x:v>C3</x:v>
      </x:c>
      <x:c r="G16" s="17" t="str">
        <x:v>A3</x:v>
      </x:c>
      <x:c r="H16" s="17" t="str">
        <x:v>Literal motor mnemonics in FILMAN v3.1 (2006). RX/RY are sample tilts. This is a reactor-TAS convention, distinct from J-PARC. A3 here is analyzer deflection.</x:v>
      </x:c>
      <x:c r="I16" s="17" t="str">
        <x:v>R22, R23</x:v>
      </x:c>
      <x:c r="J16" s="19" t="str">
        <x:f>IFERROR(HYPERLINK("https://www.issp.u-tokyo.ac.jp/labs/neutron/inst/GPTAS/filman_manual061026_3.pdf","R22: FILMAN manual v3.1"),"R22: FILMAN manual v3.1")</x:f>
        <x:v>R22: FILMAN manual v3.1</x:v>
      </x:c>
      <x:c r="K16" s="19" t="str">
        <x:f>IFERROR(HYPERLINK("https://sites.google.com/view/6g-topan/tips/tips-for-usr","R23: TOPAN tips for users"),"R23: TOPAN tips for users")</x:f>
        <x:v>R23: TOPAN tips for users</x:v>
      </x:c>
      <x:c r="L16" s="17" t="str"/>
      <x:c r="M16" s="17" t="str"/>
    </x:row>
    <x:row r="17" ht="51" customHeight="1">
      <x:c r="A17" s="23" t="str">
        <x:v>Japan / JRR-3 reactor
JAEA TAS-2, partial 2024 report</x:v>
      </x:c>
      <x:c r="B17" s="22" t="str">
        <x:v>M1</x:v>
      </x:c>
      <x:c r="C17" s="22" t="str">
        <x:v>NV</x:v>
      </x:c>
      <x:c r="D17" s="22" t="str">
        <x:v>NV</x:v>
      </x:c>
      <x:c r="E17" s="22" t="str">
        <x:v>NV</x:v>
      </x:c>
      <x:c r="F17" s="22" t="str">
        <x:v>NV</x:v>
      </x:c>
      <x:c r="G17" s="22" t="str">
        <x:v>NV</x:v>
      </x:c>
      <x:c r="H17" s="22" t="str">
        <x:v>The upgrade report explicitly names monochromator crystal axis M1. It does not give the other angle names or identify the four sample goniometer motors. Do not import FILMAN naming.</x:v>
      </x:c>
      <x:c r="I17" s="22" t="str">
        <x:v>R24, R25</x:v>
      </x:c>
      <x:c r="J17" s="24" t="str">
        <x:f>IFERROR(HYPERLINK("https://jopss.jaea.go.jp/pdfdata/JAEA-Review-2024-037.pdf","R24: Upgrade of TAS-2 spectrometer components, JAEA-Review 2024-037"),"R24: Upgrade of TAS-2 spectrometer components, JAEA-Review 2024-037")</x:f>
        <x:v>R24: Upgrade of TAS-2 spectrometer components, JAEA-Review 2024-037</x:v>
      </x:c>
      <x:c r="K17" s="24" t="str">
        <x:f>IFERROR(HYPERLINK("https://msrc.jaea.go.jp/jp/device/tas/index.html","R25: JAEA TAS instruments"),"R25: JAEA TAS instruments")</x:f>
        <x:v>R25: JAEA TAS instruments</x:v>
      </x:c>
      <x:c r="L17" s="22" t="str"/>
      <x:c r="M17" s="22" t="str"/>
    </x:row>
    <x:row r="18" ht="51" customHeight="1">
      <x:c r="A18" s="18" t="str">
        <x:v>J-PARC MLF
HRC, 4SEASONS, AMATERAS</x:v>
      </x:c>
      <x:c r="B18" s="17" t="str">
        <x:v>N/A: chopper TOF</x:v>
      </x:c>
      <x:c r="C18" s="17" t="str">
        <x:v>N/A: chopper TOF</x:v>
      </x:c>
      <x:c r="D18" s="17" t="str">
        <x:v>ω / Omega in planning; native alias NV</x:v>
      </x:c>
      <x:c r="E18" s="17" t="str">
        <x:v>Per-detector direction; two-theta in planning</x:v>
      </x:c>
      <x:c r="F18" s="17" t="str">
        <x:v>N/A: direct TOF</x:v>
      </x:c>
      <x:c r="G18" s="17" t="str">
        <x:v>N/A: direct TOF</x:v>
      </x:c>
      <x:c r="H18" s="17" t="str">
        <x:v>Direct-geometry time-of-flight instruments. The six-angle crystal-TAS scheme does not apply. Planning/analysis ω is not proof of a controller mnemonic.</x:v>
      </x:c>
      <x:c r="I18" s="17" t="str">
        <x:v>R26, R27, R28, R29</x:v>
      </x:c>
      <x:c r="J18" s="19" t="str">
        <x:f>IFERROR(HYPERLINK("https://mlfinfo.jp/en/aboutmlf/neutron.html","R26: J-PARC MLF: Neutron experiment"),"R26: J-PARC MLF: Neutron experiment")</x:f>
        <x:v>R26: J-PARC MLF: Neutron experiment</x:v>
      </x:c>
      <x:c r="K18" s="19" t="str">
        <x:f>IFERROR(HYPERLINK("https://mlfinfo.jp/_src/resource/PKrrqrH8Ai/MLF_AR_2020.pdf","R27: HRC instrument report, MLF Annual Report 2020"),"R27: HRC instrument report, MLF Annual Report 2020")</x:f>
        <x:v>R27: HRC instrument report, MLF Annual Report 2020</x:v>
      </x:c>
      <x:c r="L18" s="19" t="str">
        <x:f>IFERROR(HYPERLINK("https://nakajima.issp.u-tokyo.ac.jp/tools/4seasons_qe_range/","R28: Accessible Q-E range of 4SEASONS (BL01), T. Nakajima v0.4"),"R28: Accessible Q-E range of 4SEASONS (BL01), T. Nakajima v0.4")</x:f>
        <x:v>R28: Accessible Q-E range of 4SEASONS (BL01), T. Nakajima v0.4</x:v>
      </x:c>
      <x:c r="M18" s="19" t="str">
        <x:f>IFERROR(HYPERLINK("https://nakajima.issp.u-tokyo.ac.jp/tools/amateras_qe_range/","R29: Accessible Q-E range of AMATERAS (BL14), T. Nakajima v0.4"),"R29: Accessible Q-E range of AMATERAS (BL14), T. Nakajima v0.4")</x:f>
        <x:v>R29: Accessible Q-E range of AMATERAS (BL14), T. Nakajima v0.4</x:v>
      </x:c>
    </x:row>
    <x:row r="19" ht="51" customHeight="1">
      <x:c r="A19" s="23" t="str">
        <x:v>J-PARC MLF
DNA / BL02</x:v>
      </x:c>
      <x:c r="B19" s="22" t="str">
        <x:v>N/A: incident TOF</x:v>
      </x:c>
      <x:c r="C19" s="22" t="str">
        <x:v>N/A: incident TOF</x:v>
      </x:c>
      <x:c r="D19" s="22" t="str">
        <x:v>NV</x:v>
      </x:c>
      <x:c r="E19" s="22" t="str">
        <x:v>2θS (published coverage)</x:v>
      </x:c>
      <x:c r="F19" s="22" t="str">
        <x:v>θB: crystal-analyzer Bragg angle</x:v>
      </x:c>
      <x:c r="G19" s="22" t="str">
        <x:v>Near-backscattering geometry; native axis NV</x:v>
      </x:c>
      <x:c r="H19" s="22" t="str">
        <x:v>DNA has crystal analyzers. Its inverse-geometry TOF layout does not imply a TAS A5/A6 pair. Legacy sheet gives θB=87.5°; this is optical geometry, not a motor-zero specification.</x:v>
      </x:c>
      <x:c r="I19" s="22" t="str">
        <x:v>R26, R30</x:v>
      </x:c>
      <x:c r="J19" s="24" t="str">
        <x:f>IFERROR(HYPERLINK("https://mlfinfo.jp/en/aboutmlf/neutron.html","R26: J-PARC MLF: Neutron experiment"),"R26: J-PARC MLF: Neutron experiment")</x:f>
        <x:v>R26: J-PARC MLF: Neutron experiment</x:v>
      </x:c>
      <x:c r="K19" s="24" t="str">
        <x:f>IFERROR(HYPERLINK("https://j-parc.jp/researcher/MatLife/en/instrumentation/images/DNA.pdf","R30: BL02 DNA official instrument sheet"),"R30: BL02 DNA official instrument sheet")</x:f>
        <x:v>R30: BL02 DNA official instrument sheet</x:v>
      </x:c>
      <x:c r="L19" s="22" t="str"/>
      <x:c r="M19" s="22" t="str"/>
    </x:row>
    <x:row r="20" ht="43.5" customHeight="1">
      <x:c r="A20" s="18" t="str">
        <x:v>PSI / SINQ
SICS-MAD, 2006; extra comparison</x:v>
      </x:c>
      <x:c r="B20" s="17" t="str">
        <x:v>A1</x:v>
      </x:c>
      <x:c r="C20" s="17" t="str">
        <x:v>A2</x:v>
      </x:c>
      <x:c r="D20" s="17" t="str">
        <x:v>A3</x:v>
      </x:c>
      <x:c r="E20" s="17" t="str">
        <x:v>A4</x:v>
      </x:c>
      <x:c r="F20" s="17" t="str">
        <x:v>A5</x:v>
      </x:c>
      <x:c r="G20" s="17" t="str">
        <x:v>A6</x:v>
      </x:c>
      <x:c r="H20" s="17" t="str">
        <x:v>MAD-compatible TAS naming; SGL/SGU sample arcs. TOPSI two-axis mode does not use A5/A6.</x:v>
      </x:c>
      <x:c r="I20" s="17" t="str">
        <x:v>R06</x:v>
      </x:c>
      <x:c r="J20" s="19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K20" s="17" t="str"/>
      <x:c r="L20" s="17" t="str"/>
      <x:c r="M20" s="17" t="str"/>
    </x:row>
    <x:row r="21" ht="51" customHeight="1">
      <x:c r="A21" s="23" t="str">
        <x:v>TAVI
Pinned main repository snapshot</x:v>
      </x:c>
      <x:c r="B21" s="22" t="str">
        <x:v>A1/2 (derived)</x:v>
      </x:c>
      <x:c r="C21" s="22" t="str">
        <x:v>A1; mtt</x:v>
      </x:c>
      <x:c r="D21" s="22" t="str">
        <x:v>A3; sth; omega</x:v>
      </x:c>
      <x:c r="E21" s="22" t="str">
        <x:v>A2; stt</x:v>
      </x:c>
      <x:c r="F21" s="22" t="str">
        <x:v>A4/2 (derived)</x:v>
      </x:c>
      <x:c r="G21" s="22" t="str">
        <x:v>A4; att</x:v>
      </x:c>
      <x:c r="H21" s="22" t="str">
        <x:v>Verified four-coordinate API. Role conversion to ILL: TAVI A1→ILL A2; A2→A4; A3→A3; A4→A6. This does not establish historical Brookhaven provenance.</x:v>
      </x:c>
      <x:c r="I21" s="22" t="str">
        <x:v>R31, R32</x:v>
      </x:c>
      <x:c r="J21" s="24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  <x:c r="K21" s="24" t="str">
        <x:f>IFERROR(HYPERLINK("https://github.com/ammerritt-gh/TAVI-Triple-Axis-Virtual-Instrument/blob/4547acb69d0117839ba7d2b96e20fc43ab594c3d/instruments/tas_runtime.py","R32: TAVI runtime Bragg angle conversion"),"R32: TAVI runtime Bragg angle conversion")</x:f>
        <x:v>R32: TAVI runtime Bragg angle conversion</x:v>
      </x:c>
      <x:c r="L21" s="22" t="str"/>
      <x:c r="M21" s="22" t="str"/>
    </x:row>
    <x:row r="23" ht="28.5" customHeight="1">
      <x:c r="A23" s="28" t="str">
        <x:v>The table maps roles, not numerical readout values. A motor can use a moving reference, reversed sign, offset or different branch. Greek diagram symbols and motor-number configuration variables are explicitly marked.</x:v>
      </x:c>
      <x:c r="B23" s="28"/>
      <x:c r="C23" s="28"/>
      <x:c r="D23" s="28"/>
      <x:c r="E23" s="28"/>
      <x:c r="F23" s="28"/>
      <x:c r="G23" s="28"/>
      <x:c r="H23" s="28"/>
      <x:c r="I23" s="28"/>
    </x:row>
    <x:row r="24" ht="40.5" customHeight="1">
      <x:c r="A24" s="28" t="str">
        <x:v>Bragg coupling: for a symmetric coplanar monochromator or analyzer with compatible zeros, the crystal Bragg angle is half its beam deflection. At fixed lattice spacing, these angles change when that optic’s selected wavelength changes. A fixed-energy optic can stay fixed; temperature-tuned IXS can instead change lattice spacing at nearly fixed angle. Sample rotation is generally not half the sample scattering angle.</x:v>
      </x:c>
      <x:c r="B24" s="28"/>
      <x:c r="C24" s="28"/>
      <x:c r="D24" s="28"/>
      <x:c r="E24" s="28"/>
      <x:c r="F24" s="28"/>
      <x:c r="G24" s="28"/>
      <x:c r="H24" s="28"/>
      <x:c r="I24" s="28"/>
    </x:row>
    <x:row r="25" ht="28.5" customHeight="1">
      <x:c r="A25" s="28" t="str">
        <x:v>Historical coverage is deliberately partial where primary evidence is missing. No recovered source establishes a universal old Brookhaven A1–A4 coordinate convention. The four-angle TAVI convention is verified separately.</x:v>
      </x:c>
      <x:c r="B25" s="28"/>
      <x:c r="C25" s="28"/>
      <x:c r="D25" s="28"/>
      <x:c r="E25" s="28"/>
      <x:c r="F25" s="28"/>
      <x:c r="G25" s="28"/>
      <x:c r="H25" s="28"/>
      <x:c r="I25" s="28"/>
    </x:row>
  </x:sheetData>
  <x:mergeCells>
    <x:mergeCell ref="A23:I23"/>
    <x:mergeCell ref="A24:I24"/>
    <x:mergeCell ref="A25:I25"/>
  </x:mergeCells>
  <x:pageMargins left="0.7" right="0.7" top="0.75" bottom="0.75" header="0.3" footer="0.3"/>
  <x:tableParts count="1">
    <x:tablePart xmlns:r="http://schemas.openxmlformats.org/officeDocument/2006/relationships" r:id="Rd674831b2189486f"/>
  </x:tableParts>
</x:worksheet>
</file>

<file path=xl/worksheets/sheet2.xml><?xml version="1.0" encoding="utf-8"?>
<x:worksheet xmlns:x="http://schemas.openxmlformats.org/spreadsheetml/2006/main">
  <x:sheetPr>
    <x:tabColor rgb="FF2544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.889999389648438" hidden="0" customWidth="1"/>
    <x:col min="2" max="2" width="36.66999816894531" hidden="0" customWidth="1"/>
    <x:col min="3" max="3" width="38.88999938964844" hidden="0" customWidth="1"/>
    <x:col min="4" max="4" width="36.66999816894531" hidden="0" customWidth="1"/>
    <x:col min="5" max="5" width="35.560001373291016" hidden="0" customWidth="1"/>
    <x:col min="6" max="6" width="38.88999938964844" hidden="0" customWidth="1"/>
    <x:col min="7" max="7" width="40" hidden="0" customWidth="1"/>
    <x:col min="8" max="8" width="12.220000267028809" hidden="0" customWidth="1"/>
    <x:col min="9" max="9" width="34.439998626708984" hidden="0" customWidth="1"/>
    <x:col min="10" max="10" width="34.439998626708984" hidden="0" customWidth="1"/>
    <x:col min="11" max="11" width="34.439998626708984" hidden="0" customWidth="1"/>
    <x:col min="12" max="12" width="34.439998626708984" hidden="0" customWidth="1"/>
    <x:col min="13" max="13" width="34.4399986267089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5" t="str">
        <x:v>High-resolution IXS: physical roles and local controls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ESRF ID28, APS Sector 30 HERIX and SPring-8 BL43LXU. A physical Bragg angle does not imply a separately named TAS-like θ / 2θ motor pair.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8"/>
      <x:c r="B4" s="8"/>
      <x:c r="C4" s="8"/>
      <x:c r="D4" s="8"/>
      <x:c r="E4" s="8"/>
      <x:c r="F4" s="8"/>
      <x:c r="G4" s="8"/>
      <x:c r="H4" s="8"/>
      <x:c r="I4" s="3"/>
      <x:c r="J4" s="3"/>
      <x:c r="K4" s="3"/>
      <x:c r="L4" s="3"/>
      <x:c r="M4" s="3"/>
    </x:row>
    <x:row r="5" ht="44" customHeight="1">
      <x:c r="A5" s="12" t="str">
        <x:v>Beamline / scope</x:v>
      </x:c>
      <x:c r="B5" s="13" t="str">
        <x:v>Incident-energy optics</x:v>
      </x:c>
      <x:c r="C5" s="13" t="str">
        <x:v>Mono θ / 2θ interpretation</x:v>
      </x:c>
      <x:c r="D5" s="13" t="str">
        <x:v>Sample rotations and tilts</x:v>
      </x:c>
      <x:c r="E5" s="13" t="str">
        <x:v>Sample scattering direction</x:v>
      </x:c>
      <x:c r="F5" s="13" t="str">
        <x:v>Analyzer θ / 2θ interpretation</x:v>
      </x:c>
      <x:c r="G5" s="13" t="str">
        <x:v>Energy scan / important distinction</x:v>
      </x:c>
      <x:c r="H5" s="13" t="str">
        <x:v>Evidence</x:v>
      </x:c>
      <x:c r="I5" s="13" t="str">
        <x:v>Source 1</x:v>
      </x:c>
      <x:c r="J5" s="13" t="str">
        <x:v>Source 2</x:v>
      </x:c>
      <x:c r="K5" s="13" t="str">
        <x:v>Source 3</x:v>
      </x:c>
      <x:c r="L5" s="13" t="str">
        <x:v>Source 4</x:v>
      </x:c>
      <x:c r="M5" s="14" t="str">
        <x:v>Source 5</x:v>
      </x:c>
    </x:row>
    <x:row r="6" ht="64.5" customHeight="1">
      <x:c r="A6" s="18" t="str">
        <x:v>ESRF ID28
2014–2015 documented configuration</x:v>
      </x:c>
      <x:c r="B6" s="17" t="str">
        <x:v>Channel-cut premono mono; main high-resolution backscattering mono mth with mchi tilt. Optional postmono pmth / pmchi.</x:v>
      </x:c>
      <x:c r="C6" s="17" t="str">
        <x:v>Main lattice θB near 89.98° in the documented geometry. Its physical 2θB is near 180°. No independent main-mono 2θ motor was verified; raw mth is an alignment coordinate.</x:v>
      </x:c>
      <x:c r="D6" s="17" t="str">
        <x:v>Outer th → physical phi (renamed sphi) → chi → optional adth. th vertical; sphi transverse tilt; chi beam-axis tilt at zero outer rotations.</x:v>
      </x:c>
      <x:c r="E6" s="17" t="str">
        <x:v>tth angular pseudomotor; physical screw tthm is linear. Each analyzer channel adds a calibrated angular offset. Manual sets zero using analyzer 2.</x:v>
      </x:c>
      <x:c r="F6" s="17" t="str">
        <x:v>ath_i / achi_i align each analyzer. Near-backscattering θB is distinct from tth and from raw trim readings. Separate analyzer 2θ motor: NV.</x:v>
      </x:c>
      <x:c r="G6" s="17" t="str">
        <x:v>Scan mono temperature monot / derived deltae; analyzer temperature held fixed. SPEC phi may follow sphi or adth according to configuration.</x:v>
      </x:c>
      <x:c r="H6" s="17" t="str">
        <x:v>R33, R34, R35, R36, R37</x:v>
      </x:c>
      <x:c r="I6" s="19" t="str">
        <x:f>IFERROR(HYPERLINK("https://www.esrf.fr/files/live/sites/www/files/UsersAndScience/Experiments/EMD/ID28/UserManual/Manuals/ID28teammanual_2015_10_29.pdf","R33: Inelastic X-ray Scattering Beam-line ID28, beamline team manual"),"R33: Inelastic X-ray Scattering Beam-line ID28, beamline team manual")</x:f>
        <x:v>R33: Inelastic X-ray Scattering Beam-line ID28, beamline team manual</x:v>
      </x:c>
      <x:c r="J6" s="19" t="str">
        <x:f>IFERROR(HYPERLINK("https://www.esrf.fr/UsersAndScience/Experiments/DynExtrCond/ID28/BeamlineLayout/EH1/Sample","R34: ESRF ID28 Sample goniometer"),"R34: ESRF ID28 Sample goniometer")</x:f>
        <x:v>R34: ESRF ID28 Sample goniometer</x:v>
      </x:c>
      <x:c r="K6" s="19" t="str">
        <x:f>IFERROR(HYPERLINK("https://www.esrf.fr/UsersAndScience/Experiments/DynExtrCond/ID28/BeamlineLayout/OH3/BackscatteringMonochromator","R35: ESRF ID28 High energy resolution backscattering monochromator"),"R35: ESRF ID28 High energy resolution backscattering monochromator")</x:f>
        <x:v>R35: ESRF ID28 High energy resolution backscattering monochromator</x:v>
      </x:c>
      <x:c r="L6" s="19" t="str">
        <x:f>IFERROR(HYPERLINK("https://www.esrf.fr/files/live/sites/www/files/events/conferences/2014/ESRF%20ILL%20Summer%20Programme%202014/Presentations/Inelastic%20X-Ray%20Scattering_Krisch.pdf","R36: M. Krisch, Inelastic X-Ray Scattering, ESRF/ILL Summer Programme 2014"),"R36: M. Krisch, Inelastic X-Ray Scattering, ESRF/ILL Summer Programme 2014")</x:f>
        <x:v>R36: M. Krisch, Inelastic X-Ray Scattering, ESRF/ILL Summer Programme 2014</x:v>
      </x:c>
      <x:c r="M6" s="19" t="str">
        <x:f>IFERROR(HYPERLINK("https://www.esrf.fr/UsersAndScience/Experiments/DynExtrCond/ID28/UserManual/HandlingInstrument","R37: ESRF ID28 Handling the instrument"),"R37: ESRF ID28 Handling the instrument")</x:f>
        <x:v>R37: ESRF ID28 Handling the instrument</x:v>
      </x:c>
    </x:row>
    <x:row r="7" ht="78" customHeight="1">
      <x:c r="A7" s="23" t="str">
        <x:v>APS / Sector 30 HERIX
2011/2020 optics; 2025 stage listing</x:v>
      </x:c>
      <x:c r="B7" s="22" t="str">
        <x:v>Diamond double-crystal premono, then six-reflection in-line Si HRM. Three crystal pairs: Si(311), Si(15 11 9), Si(220) in the documented implementation.</x:v>
      </x:c>
      <x:c r="C7" s="22" t="str">
        <x:v>Multiple Bragg angles, not one θM. 2011 HRM-2 pairs: 9.182°, 83.958°, 7.821° at 23.725 keV. Net outgoing beam direction restored; no single TAS-like mono 2θ.</x:v>
      </x:c>
      <x:c r="D7" s="22" t="str">
        <x:v>Official θ, χ, Φ stages. Drawing-derived carrier order: θ1 → χ → Φ → sample. θ1/θ2 appear on base drawings; exact controller aliases and zero mapping NV.</x:v>
      </x:c>
      <x:c r="E7" s="22" t="str">
        <x:v>2θ denotes sample scattering. Horizontal analyzer bank, with a separate outgoing direction for each channel. θ2 drawing label is not a verified raw-readout identity to 2θ.</x:v>
      </x:c>
      <x:c r="F7" s="22" t="str">
        <x:v>Nine near-backscattering Si(12 12 12) analyzers: θB=89.98° in 2020. θx pitch / θy yaw align each analyzer. These are distinct from sample χ/Φ and scattering 2θ.</x:v>
      </x:c>
      <x:c r="G7" s="22" t="str">
        <x:v>Energy scans rotate the central HRM pair; temperature stabilizes its spacing. Detailed angles describe 2011/2020 hardware, not a verified post-upgrade configuration.</x:v>
      </x:c>
      <x:c r="H7" s="22" t="str">
        <x:v>R38, R39, R40, R41, R42</x:v>
      </x:c>
      <x:c r="I7" s="24" t="str">
        <x:f>IFERROR(HYPERLINK("https://journals.iucr.org/s/issues/2020/03/00/ok5012/index.html","R38: Said et al., High-energy-resolution inelastic X-ray scattering spectrometer at beamline 30-ID of the Advanced Photon Source, J. Synchrotron Rad. 27 (2020) 827–835"),"R38: Said et al., High-energy-resolution inelastic X-ray scattering spectrometer at beamline 30-ID of the Advanced Photon Source, J. Synchrotron Rad. 27 (2020) 827–835")</x:f>
        <x:v>R38: Said et al., High-energy-resolution inelastic X-ray scattering spectrometer at beamline 30-ID of the Advanced Photon Source, J. Synchrotron Rad. 27 (2020) 827–835</x:v>
      </x:c>
      <x:c r="J7" s="24" t="str">
        <x:f>IFERROR(HYPERLINK("https://journals.iucr.org/s/issues/2011/04/00/mo5010/index.html","R39: Toellner, Alatas and Said, Six-reflection meV-monochromator for synchrotron radiation, J. Synchrotron Rad.18 (2011) 605–611"),"R39: Toellner, Alatas and Said, Six-reflection meV-monochromator for synchrotron radiation, J. Synchrotron Rad.18 (2011) 605–611")</x:f>
        <x:v>R39: Toellner, Alatas and Said, Six-reflection meV-monochromator for synchrotron radiation, J. Synchrotron Rad.18 (2011) 605–611</x:v>
      </x:c>
      <x:c r="K7" s="24" t="str">
        <x:f>IFERROR(HYPERLINK("https://www.aps.anl.gov/Sector-30/Sample-Environments","R40: APS Sector 30, Sample Environments"),"R40: APS Sector 30, Sample Environments")</x:f>
        <x:v>R40: APS Sector 30, Sample Environments</x:v>
      </x:c>
      <x:c r="L7" s="24" t="str">
        <x:f>IFERROR(HYPERLINK("https://www.aps.anl.gov/Sector-30/Sample-Environments/Huber","R41: APS Sector 30, Sample Environments: Eularien Cradle"),"R41: APS Sector 30, Sample Environments: Eularien Cradle")</x:f>
        <x:v>R41: APS Sector 30, Sample Environments: Eularien Cradle</x:v>
      </x:c>
      <x:c r="M7" s="24" t="str">
        <x:f>IFERROR(HYPERLINK("https://www.aps.anl.gov/Sector-30/HERIX","R42: APS Sector 30, Overview: HERIX Spectrometer"),"R42: APS Sector 30, Overview: HERIX Spectrometer")</x:f>
        <x:v>R42: APS Sector 30, Overview: HERIX Spectrometer</x:v>
      </x:c>
    </x:row>
    <x:row r="8" ht="64.5" customHeight="1">
      <x:c r="A8" s="18" t="str">
        <x:v>SPring-8 / BL43LXU
High-resolution IXS; 2015–2025 sources</x:v>
      </x:c>
      <x:c r="B8" s="17" t="str">
        <x:v>High-heat-load premono, then near-backscattering high-resolution Si monochromator; spherical crystal analyzer array.</x:v>
      </x:c>
      <x:c r="C8" s="17" t="str">
        <x:v>θB=89.98° for the high-resolution mono in the 2015 paper; near-180° reflection. Native crystal-angle and separate 2θ motor aliases NV.</x:v>
      </x:c>
      <x:c r="D8" s="17" t="str">
        <x:v>Official default Eulerian circles omega, chi, phi. Huber 512 cradle. The complete physical rotation order, signed axes and encoder-zero definitions are NV.</x:v>
      </x:c>
      <x:c r="E8" s="17" t="str">
        <x:v>Large two-theta arm. Official SIXCIRCLE example uses tth. Individual analyzer channels have distinct scattering directions; full raw motor header was not recovered.</x:v>
      </x:c>
      <x:c r="F8" s="17" t="str">
        <x:v>Each analyzer has near-backscattering Bragg geometry. Native θ / 2θ aliases NV. Published analyzer Ψ is rotation about its Bragg vector, not a sample ψ motor.</x:v>
      </x:c>
      <x:c r="G8" s="17" t="str">
        <x:v>Scan backscattering-mono temperature while holding analyzer temperatures stable. Optical θB, analyzer Ψ and sample omega/chi/phi are separate namespaces.</x:v>
      </x:c>
      <x:c r="H8" s="17" t="str">
        <x:v>R43, R44, R45, R46, R47</x:v>
      </x:c>
      <x:c r="I8" s="19" t="str">
        <x:f>IFERROR(HYPERLINK("https://beamline.harima.riken.jp/bl_info/bl43lxu_info.html","R43: BL43LXU: The RIKEN Quantum NanoDynamics Beamline"),"R43: BL43LXU: The RIKEN Quantum NanoDynamics Beamline")</x:f>
        <x:v>R43: BL43LXU: The RIKEN Quantum NanoDynamics Beamline</x:v>
      </x:c>
      <x:c r="J8" s="19" t="str">
        <x:f>IFERROR(HYPERLINK("https://journals.iucr.org/s/issues/2015/01/00/ie5127/index.html","R44: Inelastic X-ray scattering with 0.75 meV resolution at 25.7 keV using a temperature-gradient analyzer, D. Ishikawa et al."),"R44: Inelastic X-ray scattering with 0.75 meV resolution at 25.7 keV using a temperature-gradient analyzer, D. Ishikawa et al.")</x:f>
        <x:v>R44: Inelastic X-ray scattering with 0.75 meV resolution at 25.7 keV using a temperature-gradient analyzer, D. Ishikawa et al.</x:v>
      </x:c>
      <x:c r="K8" s="19" t="str">
        <x:f>IFERROR(HYPERLINK("https://beamline.harima.riken.jp/bl43lxu/pdfs/advice_thin_films.pdf","R45: Measuring IXS from Thin Films, Alfred Baron"),"R45: Measuring IXS from Thin Films, Alfred Baron")</x:f>
        <x:v>R45: Measuring IXS from Thin Films, Alfred Baron</x:v>
      </x:c>
      <x:c r="L8" s="19" t="str">
        <x:f>IFERROR(HYPERLINK("https://beamline.harima.riken.jp/bl43lxu/pdfs/confirm_sample_orientation.pdf","R46: Confirming the Sample Orientation, Alfred Baron"),"R46: Confirming the Sample Orientation, Alfred Baron")</x:f>
        <x:v>R46: Confirming the Sample Orientation, Alfred Baron</x:v>
      </x:c>
      <x:c r="M8" s="19" t="str">
        <x:f>IFERROR(HYPERLINK("https://beamline.harima.riken.jp/bl43lxu/pdfs/baron_ishikawa_practical_resolution_meV_jsr2021.pdf","R47: Practical measurement of the energy resolution for meV-resolved inelastic X-ray scattering, D. Ishikawa and A.Q.R. Baron"),"R47: Practical measurement of the energy resolution for meV-resolved inelastic X-ray scattering, D. Ishikawa and A.Q.R. Baron")</x:f>
        <x:v>R47: Practical measurement of the energy resolution for meV-resolved inelastic X-ray scattering, D. Ishikawa and A.Q.R. Baron</x:v>
      </x:c>
    </x:row>
    <x:row r="10" ht="28.5" customHeight="1">
      <x:c r="A10" s="28" t="str">
        <x:v>The analyzer-channel angle from the sample determines kf direction and Q. It is different from the Bragg angle inside the analyzer crystal. Multiple channels need separate calibrated outgoing-ray directions.</x:v>
      </x:c>
      <x:c r="B10" s="28"/>
      <x:c r="C10" s="28"/>
      <x:c r="D10" s="28"/>
      <x:c r="E10" s="28"/>
      <x:c r="F10" s="28"/>
      <x:c r="G10" s="28"/>
      <x:c r="H10" s="28"/>
    </x:row>
    <x:row r="11" ht="28.5" customHeight="1">
      <x:c r="A11" s="28" t="str">
        <x:v>NV denotes an unrecovered native alias, axis order, zero or sign. It does not mean the hardware lacks an alignment mechanism. Local configurations and optional sample environments can reassign motor channels.</x:v>
      </x:c>
      <x:c r="B11" s="28"/>
      <x:c r="C11" s="28"/>
      <x:c r="D11" s="28"/>
      <x:c r="E11" s="28"/>
      <x:c r="F11" s="28"/>
      <x:c r="G11" s="28"/>
      <x:c r="H11" s="28"/>
    </x:row>
  </x:sheetData>
  <x:mergeCells>
    <x:mergeCell ref="A10:H10"/>
    <x:mergeCell ref="A11:H11"/>
  </x:mergeCells>
  <x:pageMargins left="0.7" right="0.7" top="0.75" bottom="0.75" header="0.3" footer="0.3"/>
  <x:tableParts count="1">
    <x:tablePart xmlns:r="http://schemas.openxmlformats.org/officeDocument/2006/relationships" r:id="R3fde3fda48ee44ea"/>
  </x:tableParts>
</x:worksheet>
</file>

<file path=xl/worksheets/sheet3.xml><?xml version="1.0" encoding="utf-8"?>
<x:worksheet xmlns:x="http://schemas.openxmlformats.org/spreadsheetml/2006/main">
  <x:sheetPr>
    <x:tabColor rgb="FF2544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.33000183105469" hidden="0" customWidth="1"/>
    <x:col min="2" max="2" width="27.219999313354492" hidden="0" customWidth="1"/>
    <x:col min="3" max="3" width="47.779998779296875" hidden="0" customWidth="1"/>
    <x:col min="4" max="4" width="52.220001220703125" hidden="0" customWidth="1"/>
    <x:col min="5" max="5" width="48.88999938964844" hidden="0" customWidth="1"/>
    <x:col min="6" max="6" width="12.220000267028809" hidden="0" customWidth="1"/>
    <x:col min="7" max="7" width="34.439998626708984" hidden="0" customWidth="1"/>
    <x:col min="8" max="8" width="34.439998626708984" hidden="0" customWidth="1"/>
    <x:col min="9" max="9" width="34.439998626708984" hidden="0" customWidth="1"/>
    <x:col min="10" max="10" width="34.4399986267089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5" t="str">
        <x:v>Sample stages and Greek-symbol collisions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7" t="str">
        <x:v>A name is meaningful only with its instrument, mode, physical axis or mathematical definition. Parent axes carry all inner axes.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8"/>
      <x:c r="B4" s="8"/>
      <x:c r="C4" s="8"/>
      <x:c r="D4" s="8"/>
      <x:c r="E4" s="8"/>
      <x:c r="F4" s="8"/>
      <x:c r="G4" s="3"/>
      <x:c r="H4" s="3"/>
      <x:c r="I4" s="3"/>
      <x:c r="J4" s="3"/>
    </x:row>
    <x:row r="5" ht="44" customHeight="1">
      <x:c r="A5" s="12" t="str">
        <x:v>Context</x:v>
      </x:c>
      <x:c r="B5" s="13" t="str">
        <x:v>Name(s)</x:v>
      </x:c>
      <x:c r="C5" s="13" t="str">
        <x:v>Kind and physical meaning</x:v>
      </x:c>
      <x:c r="D5" s="13" t="str">
        <x:v>Axis / attachment / reference</x:v>
      </x:c>
      <x:c r="E5" s="13" t="str">
        <x:v>Interpretation limit</x:v>
      </x:c>
      <x:c r="F5" s="13" t="str">
        <x:v>Evidence</x:v>
      </x:c>
      <x:c r="G5" s="13" t="str">
        <x:v>Source 1</x:v>
      </x:c>
      <x:c r="H5" s="13" t="str">
        <x:v>Source 2</x:v>
      </x:c>
      <x:c r="I5" s="13" t="str">
        <x:v>Source 3</x:v>
      </x:c>
      <x:c r="J5" s="14" t="str">
        <x:v>Source 4</x:v>
      </x:c>
    </x:row>
    <x:row r="6" ht="43.5" customHeight="1">
      <x:c r="A6" s="18" t="str">
        <x:v>Brookhaven / HFBR, 1983</x:v>
      </x:c>
      <x:c r="B6" s="17" t="str">
        <x:v>Two orthogonal sample tilts; native names NV</x:v>
      </x:c>
      <x:c r="C6" s="17" t="str">
        <x:v>Manual two-axis goniometers on H5/H7/H8/H9-A; computer-controlled four-circle on H6-M.</x:v>
      </x:c>
      <x:c r="D6" s="17" t="str">
        <x:v>Horizontal tilt axes on the documented TAS heads; exact names/order/zero vectors NV.</x:v>
      </x:c>
      <x:c r="E6" s="17" t="str">
        <x:v>Do not assign ψ/φ/χ/ω from generic four-circle expectations.</x:v>
      </x:c>
      <x:c r="F6" s="17" t="str">
        <x:v>R02</x:v>
      </x:c>
      <x:c r="G6" s="19" t="str">
        <x:f>IFERROR(HYPERLINK("https://www.osti.gov/servlets/purl/5517450","R02: Brookhaven National Laboratory, HFBR Handbook, BNL-24182-Rev. (August 1983)"),"R02: Brookhaven National Laboratory, HFBR Handbook, BNL-24182-Rev. (August 1983)")</x:f>
        <x:v>R02: Brookhaven National Laboratory, HFBR Handbook, BNL-24182-Rev. (August 1983)</x:v>
      </x:c>
      <x:c r="H6" s="17" t="str"/>
      <x:c r="I6" s="17" t="str"/>
      <x:c r="J6" s="17" t="str"/>
    </x:row>
    <x:row r="7" ht="43.5" customHeight="1">
      <x:c r="A7" s="23" t="str">
        <x:v>ORNL / SPICE physical controls</x:v>
      </x:c>
      <x:c r="B7" s="22" t="str">
        <x:v>s1; sgl; sgu</x:v>
      </x:c>
      <x:c r="C7" s="22" t="str">
        <x:v>Sample rotation; lower sample arc; upper sample arc.</x:v>
      </x:c>
      <x:c r="D7" s="22" t="str">
        <x:v>Outer s1 → lower arc → upper arc. Alignment guide uses a first orientation vector along the lower arc.</x:v>
      </x:c>
      <x:c r="E7" s="22" t="str">
        <x:v>2017 virtual keys s3/s4 map to sgl/sgu; aliases are configurable.</x:v>
      </x:c>
      <x:c r="F7" s="22" t="str">
        <x:v>R04, R48</x:v>
      </x:c>
      <x:c r="G7" s="24" t="str">
        <x:f>IFERROR(HYPERLINK("https://neutron.ornl.gov/spice/howto_alignsample.html","R04: ORNL SPICE, How to align a single crystal"),"R04: ORNL SPICE, How to align a single crystal")</x:f>
        <x:v>R04: ORNL SPICE, How to align a single crystal</x:v>
      </x:c>
      <x:c r="H7" s="24" t="str">
        <x:f>IFERROR(HYPERLINK("https://neutron.ornl.gov/spice/Executables/TAX%20SPICE%20%28Virtual-Including%20Source%20Code%29%20%286-27-17%29/vSPICE.zip","R48: ORNL, Triple-Axis Virtual SPICE with source code (27 June 2017)"),"R48: ORNL, Triple-Axis Virtual SPICE with source code (27 June 2017)")</x:f>
        <x:v>R48: ORNL, Triple-Axis Virtual SPICE with source code (27 June 2017)</x:v>
      </x:c>
      <x:c r="I7" s="22" t="str"/>
      <x:c r="J7" s="22" t="str"/>
    </x:row>
    <x:row r="8" ht="78" customHeight="1">
      <x:c r="A8" s="18" t="str">
        <x:v>ORNL / Lumsden 2005 TAS mathematics</x:v>
      </x:c>
      <x:c r="B8" s="17" t="str">
        <x:v>s = θ + ω; μ; ν; φ</x:v>
      </x:c>
      <x:c r="C8" s="17" t="str">
        <x:v>s is full vertical sample rotation; ω is a geometry-dependent component. μ/ν lower/upper arcs; φ sample scattering.</x:v>
      </x:c>
      <x:c r="D8" s="17" t="str">
        <x:v>Beam +y, up +z. Rz(s) Ry(μ) Rx(ν). θ relates the Q frame to the laboratory and is generally not φ/2 in inelastic scattering.</x:v>
      </x:c>
      <x:c r="E8" s="17" t="str">
        <x:v>These are mathematical definitions, not additional native motors. In this paper, ω alone is not s1.</x:v>
      </x:c>
      <x:c r="F8" s="17" t="str">
        <x:v>R49</x:v>
      </x:c>
      <x:c r="G8" s="19" t="str">
        <x:f>IFERROR(HYPERLINK("https://www.researchgate.net/publication/244635363_UB_matrix_implementation_for_inelastic_neutron_scattering_experiments","R49: M. D. Lumsden, J. L. Robertson and M. Yethiraj, UB matrix implementation for inelastic neutron scattering experiments, J. Appl. Cryst. 38, 405–411 (2005), DOI 10.1107/S0021889805004875"),"R49: M. D. Lumsden, J. L. Robertson and M. Yethiraj, UB matrix implementation for inelastic neutron scattering experiments, J. Appl. Cryst. 38, 405–411 (2005), DOI 10.1107/S0021889805004875")</x:f>
        <x:v>R49: M. D. Lumsden, J. L. Robertson and M. Yethiraj, UB matrix implementation for inelastic neutron scattering experiments, J. Appl. Cryst. 38, 405–411 (2005), DOI 10.1107/S0021889805004875</x:v>
      </x:c>
      <x:c r="H8" s="17" t="str"/>
      <x:c r="I8" s="17" t="str"/>
      <x:c r="J8" s="17" t="str"/>
    </x:row>
    <x:row r="9" ht="51" customHeight="1">
      <x:c r="A9" s="23" t="str">
        <x:v>ILL / MAD, 2006</x:v>
      </x:c>
      <x:c r="B9" s="22" t="str">
        <x:v>A3; GL; GU; GM; GA</x:v>
      </x:c>
      <x:c r="C9" s="22" t="str">
        <x:v>A3 sample orientation; GL/GU lower/upper sample arcs; GM/GA mono/analyzer goniometers.</x:v>
      </x:c>
      <x:c r="D9" s="22" t="str">
        <x:v>A3=0: first reciprocal orientation vector points along incident beam. Local lower/upper axes require their own geometry.</x:v>
      </x:c>
      <x:c r="E9" s="22" t="str">
        <x:v>No universal TAS ψ/φ/χ aliases verified. Historical arc control scales need verification; a missing unit glyph prevents reliable GL/GU conversion.</x:v>
      </x:c>
      <x:c r="F9" s="22" t="str">
        <x:v>R06, R07</x:v>
      </x:c>
      <x:c r="G9" s="24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H9" s="24" t="str">
        <x:f>IFERROR(HYPERLINK("https://ifit.mccode.org/Applications/ResLibCal/doc/ResLibCal.html","R07: E. Farhi (ILL), ResLibCal manual, 2018"),"R07: E. Farhi (ILL), ResLibCal manual, 2018")</x:f>
        <x:v>R07: E. Farhi (ILL), ResLibCal manual, 2018</x:v>
      </x:c>
      <x:c r="I9" s="22" t="str"/>
      <x:c r="J9" s="22" t="str"/>
    </x:row>
    <x:row r="10" ht="51" customHeight="1">
      <x:c r="A10" s="18" t="str">
        <x:v>MLZ / PUMA and PANDA</x:v>
      </x:c>
      <x:c r="B10" s="17" t="str">
        <x:v>psi (ψ); phi (φ); sgx; sgy</x:v>
      </x:c>
      <x:c r="C10" s="17" t="str">
        <x:v>ψ / sth = sample rocking role. φ / stt = sample scattering role. sgx/sgy = physical sample X/Y goniometers.</x:v>
      </x:c>
      <x:c r="D10" s="17" t="str">
        <x:v>X/Y labels refer to the configured sample cradle; axis names alone do not establish lower/upper order. PUMA and PANDA have different sample coupling settings.</x:v>
      </x:c>
      <x:c r="E10" s="17" t="str">
        <x:v>Physical roles match ILL A3/A4; raw numerical readouts require offsets, coupling, signs and wrapping.</x:v>
      </x:c>
      <x:c r="F10" s="17" t="str">
        <x:v>R08, R50, R51, R11</x:v>
      </x:c>
      <x:c r="G10" s="19" t="str">
        <x:f>IFERROR(HYPERLINK("https://wiki.mlz-garching.de/_media/fopra:puma_manual_eng.pdf","R08: PUMA practical-course manual, 2011"),"R08: PUMA practical-course manual, 2011")</x:f>
        <x:v>R08: PUMA practical-course manual, 2011</x:v>
      </x:c>
      <x:c r="H10" s="19" t="str">
        <x:f>IFERROR(HYPERLINK("https://github.com/mlz-ictrl/nicos/blob/ccee1a45a3981765a2fe64c75bdeff281091e733/nicos_mlz/puma/setups/sampletable.py","R50: MLZ NICOS PUMA sample table"),"R50: MLZ NICOS PUMA sample table")</x:f>
        <x:v>R50: MLZ NICOS PUMA sample table</x:v>
      </x:c>
      <x:c r="I10" s="19" t="str">
        <x:f>IFERROR(HYPERLINK("https://github.com/mlz-ictrl/nicos/blob/ccee1a45a3981765a2fe64c75bdeff281091e733/nicos_mlz/panda/setups/sampletable.py","R51: MLZ NICOS PANDA sample table"),"R51: MLZ NICOS PANDA sample table")</x:f>
        <x:v>R51: MLZ NICOS PANDA sample table</x:v>
      </x:c>
      <x:c r="J10" s="19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</x:row>
    <x:row r="11" ht="43.5" customHeight="1">
      <x:c r="A11" s="23" t="str">
        <x:v>MLZ / PANDA virtual sample controls</x:v>
      </x:c>
      <x:c r="B11" s="22" t="str">
        <x:v>vg1; vg2; alpha (α)</x:v>
      </x:c>
      <x:c r="C11" s="22" t="str">
        <x:v>vg1/vg2: virtual tilts along orientation reflections. α: calculated ki-to-Q angle, used by guide-field handling.</x:v>
      </x:c>
      <x:c r="D11" s="22" t="str">
        <x:v>Virtual goniometers transform physical sgx/sgy using psi0. α is a scattering-triangle quantity.</x:v>
      </x:c>
      <x:c r="E11" s="22" t="str">
        <x:v>Neither vg1/vg2 nor α is an additional independent mechanical sample rotation.</x:v>
      </x:c>
      <x:c r="F11" s="22" t="str">
        <x:v>R51, R52, R13, R15</x:v>
      </x:c>
      <x:c r="G11" s="24" t="str">
        <x:f>IFERROR(HYPERLINK("https://github.com/mlz-ictrl/nicos/blob/ccee1a45a3981765a2fe64c75bdeff281091e733/nicos_mlz/panda/setups/sampletable.py","R51: MLZ NICOS PANDA sample table"),"R51: MLZ NICOS PANDA sample table")</x:f>
        <x:v>R51: MLZ NICOS PANDA sample table</x:v>
      </x:c>
      <x:c r="H11" s="24" t="str">
        <x:f>IFERROR(HYPERLINK("https://github.com/mlz-ictrl/nicos/blob/ccee1a45a3981765a2fe64c75bdeff281091e733/nicos/devices/tas/vgonio.py","R52: NICOS virtual goniometers"),"R52: NICOS virtual goniometers")</x:f>
        <x:v>R52: NICOS virtual goniometers</x:v>
      </x:c>
      <x:c r="I11" s="24" t="str">
        <x:f>IFERROR(HYPERLINK("https://github.com/mlz-ictrl/nicos/blob/ccee1a45a3981765a2fe64c75bdeff281091e733/nicos_mlz/panda/setups/panda.py","R13: MLZ NICOS PANDA setup"),"R13: MLZ NICOS PANDA setup")</x:f>
        <x:v>R13: MLZ NICOS PANDA setup</x:v>
      </x:c>
      <x:c r="J11" s="24" t="str">
        <x:f>IFERROR(HYPERLINK("https://github.com/mlz-ictrl/nicos/blob/ccee1a45a3981765a2fe64c75bdeff281091e733/nicos/devices/tas/spectro.py","R15: NICOS TAS role definitions"),"R15: NICOS TAS role definitions")</x:f>
        <x:v>R15: NICOS TAS role definitions</x:v>
      </x:c>
    </x:row>
    <x:row r="12" ht="43.5" customHeight="1">
      <x:c r="A12" s="18" t="str">
        <x:v>MLZ / optional PUMA Euler cradle</x:v>
      </x:c>
      <x:c r="B12" s="17" t="str">
        <x:v>psi → chi → omega
actual inner motors: echi / ephi</x:v>
      </x:c>
      <x:c r="C12" s="17" t="str">
        <x:v>Generic NICOS outer psi = crystallographic omega; middle chi = chi; inner omega = crystallographic phi.</x:v>
      </x:c>
      <x:c r="D12" s="17" t="str">
        <x:v>Outer → middle → inner. PUMA echi attaches to generic chi; ephi attaches to generic omega. Scattering phi remains sample 2θ.</x:v>
      </x:c>
      <x:c r="E12" s="17" t="str">
        <x:v>PUMA ephi, generic inner omega and scattering phi belong to different namespaces.</x:v>
      </x:c>
      <x:c r="F12" s="17" t="str">
        <x:v>R53, R54, R55</x:v>
      </x:c>
      <x:c r="G12" s="19" t="str">
        <x:f>IFERROR(HYPERLINK("https://github.com/mlz-ictrl/nicos/blob/ccee1a45a3981765a2fe64c75bdeff281091e733/nicos/devices/tas/ecradle.py","R53: NICOS TAS Eulerian cradle convention"),"R53: NICOS TAS Eulerian cradle convention")</x:f>
        <x:v>R53: NICOS TAS Eulerian cradle convention</x:v>
      </x:c>
      <x:c r="H12" s="19" t="str">
        <x:f>IFERROR(HYPERLINK("https://github.com/mlz-ictrl/nicos/blob/ccee1a45a3981765a2fe64c75bdeff281091e733/nicos_mlz/puma/setups/ecradle.py","R54: MLZ NICOS PUMA optional Eulerian cradle"),"R54: MLZ NICOS PUMA optional Eulerian cradle")</x:f>
        <x:v>R54: MLZ NICOS PUMA optional Eulerian cradle</x:v>
      </x:c>
      <x:c r="I12" s="19" t="str">
        <x:f>IFERROR(HYPERLINK("https://github.com/mlz-ictrl/nicos/blob/ccee1a45a3981765a2fe64c75bdeff281091e733/nicos_mlz/puma/setups/euler.py","R55: MLZ NICOS PUMA optional euler setup"),"R55: MLZ NICOS PUMA optional euler setup")</x:f>
        <x:v>R55: MLZ NICOS PUMA optional euler setup</x:v>
      </x:c>
      <x:c r="J12" s="17" t="str"/>
    </x:row>
    <x:row r="13" ht="51" customHeight="1">
      <x:c r="A13" s="23" t="str">
        <x:v>LLB / Orphée</x:v>
      </x:c>
      <x:c r="B13" s="22" t="str">
        <x:v>e1; ψ; φ; θ; ω</x:v>
      </x:c>
      <x:c r="C13" s="22" t="str">
        <x:v>e1 is a reported sample-stage name. In the 2003 brochure ψ is the sample scattering angle; φ/θ occur in a reciprocal-space construction.</x:v>
      </x:c>
      <x:c r="D13" s="22" t="str">
        <x:v>The thesis gives e1 ↔ ILL A3 ↔ FRM-II psi by role. Brochure motor zeros, axes and tilt names NV.</x:v>
      </x:c>
      <x:c r="E13" s="22" t="str">
        <x:v>Do not read brochure ψ as sample rocking. Exact φ/θ references are unresolved. Brochure ħω denotes energy transfer; that ω is a frequency, not a motor angle.</x:v>
      </x:c>
      <x:c r="F13" s="22" t="str">
        <x:v>R17, R16</x:v>
      </x:c>
      <x:c r="G13" s="24" t="str">
        <x:f>IFERROR(HYPERLINK("https://kups.ub.uni-koeln.de/9182/1/PhD_wasser%20_Druck.pdf","R17: Florian Tim Waßer, Magnetic Excitations in Iron-based Superconductors, University of Cologne, 2018"),"R17: Florian Tim Waßer, Magnetic Excitations in Iron-based Superconductors, University of Cologne, 2018")</x:f>
        <x:v>R17: Florian Tim Waßer, Magnetic Excitations in Iron-based Superconductors, University of Cologne, 2018</x:v>
      </x:c>
      <x:c r="H13" s="24" t="str">
        <x:f>IFERROR(HYPERLINK("https://iramis.cea.fr/wp-content/uploads/2024/11/LLB-48pages-fr-2003.pdf","R16: Laboratoire Léon Brillouin, institutional 2003 brochure"),"R16: Laboratoire Léon Brillouin, institutional 2003 brochure")</x:f>
        <x:v>R16: Laboratoire Léon Brillouin, institutional 2003 brochure</x:v>
      </x:c>
      <x:c r="I13" s="22" t="str"/>
      <x:c r="J13" s="22" t="str"/>
    </x:row>
    <x:row r="14" ht="64.5" customHeight="1">
      <x:c r="A14" s="18" t="str">
        <x:v>Berlin / BER II FLEXX</x:v>
      </x:c>
      <x:c r="B14" s="17" t="str">
        <x:v>A3; A4; A5; Ω; RA</x:v>
      </x:c>
      <x:c r="C14" s="17" t="str">
        <x:v>A3 sample rotation; A4 scattering; A5 analyzer rocking. Ω is the analyzer rocking coordinate in the 2015 paper.</x:v>
      </x:c>
      <x:c r="D14" s="17" t="str">
        <x:v>Ω/A5 plotted in degrees. Sample tilt aliases and mechanical nesting NV. MultiFLEXX A4 requires channel offsets.</x:v>
      </x:c>
      <x:c r="E14" s="17" t="str">
        <x:v>RA in this FLEXX paper is analyzer focusing curvature (cm⁻¹), not an angle. Header-only auxiliaries are not assigned guessed meanings.</x:v>
      </x:c>
      <x:c r="F14" s="17" t="str">
        <x:v>R18, R21</x:v>
      </x:c>
      <x:c r="G14" s="19" t="str">
        <x:f>IFERROR(HYPERLINK("https://www.helmholtz-berlin.de/pubbin/oai_publication?ID=86367&amp;VT=1","R18: Habicht et al., The upgraded cold neutron triple-axis spectrometer FLEXX – enhanced capabilities by new instrumental options, EPJ Web Conf. 83, 03007 (2015)"),"R18: Habicht et al., The upgraded cold neutron triple-axis spectrometer FLEXX – enhanced capabilities by new instrumental options, EPJ Web Conf. 83, 03007 (2015)")</x:f>
        <x:v>R18: Habicht et al., The upgraded cold neutron triple-axis spectrometer FLEXX – enhanced capabilities by new instrumental options, EPJ Web Conf. 83, 03007 (2015)</x:v>
      </x:c>
      <x:c r="H14" s="19" t="str">
        <x:f>IFERROR(HYPERLINK("https://www.nature.com/articles/s41598-017-14046-z","R21: Groitl et al., MultiFLEXX - The new multi-analyzer at the cold triple-axis spectrometer FLEXX, Scientific Reports 7, 13637 (2017)"),"R21: Groitl et al., MultiFLEXX - The new multi-analyzer at the cold triple-axis spectrometer FLEXX, Scientific Reports 7, 13637 (2017)")</x:f>
        <x:v>R21: Groitl et al., MultiFLEXX - The new multi-analyzer at the cold triple-axis spectrometer FLEXX, Scientific Reports 7, 13637 (2017)</x:v>
      </x:c>
      <x:c r="I14" s="17" t="str"/>
      <x:c r="J14" s="17" t="str"/>
    </x:row>
    <x:row r="15" ht="43.5" customHeight="1">
      <x:c r="A15" s="23" t="str">
        <x:v>Japan / JRR-3 FILMAN instruments</x:v>
      </x:c>
      <x:c r="B15" s="22" t="str">
        <x:v>C2 / ω; RX; RY; RM; RA</x:v>
      </x:c>
      <x:c r="C15" s="22" t="str">
        <x:v>C2 sample rotation / omega scan. RX/RY sample X/Y tilts. TOPAN lists RM mono tilt and RA analyzer tilt.</x:v>
      </x:c>
      <x:c r="D15" s="22" t="str">
        <x:v>Motor angles are in degrees. Physical beam-frame vectors and lower/upper stacking order NV.</x:v>
      </x:c>
      <x:c r="E15" s="22" t="str">
        <x:v>RA here is a tilt, unlike FLEXX’s focusing curvature. No universal ψ/φ/χ sample aliases were established.</x:v>
      </x:c>
      <x:c r="F15" s="22" t="str">
        <x:v>R22, R56</x:v>
      </x:c>
      <x:c r="G15" s="24" t="str">
        <x:f>IFERROR(HYPERLINK("https://www.issp.u-tokyo.ac.jp/labs/neutron/inst/GPTAS/filman_manual061026_3.pdf","R22: FILMAN manual v3.1"),"R22: FILMAN manual v3.1")</x:f>
        <x:v>R22: FILMAN manual v3.1</x:v>
      </x:c>
      <x:c r="H15" s="24" t="str">
        <x:f>IFERROR(HYPERLINK("https://sites.google.com/view/6g-topan/home/specifications/spectrometer","R56: TOPAN spectrometer specifications"),"R56: TOPAN spectrometer specifications")</x:f>
        <x:v>R56: TOPAN spectrometer specifications</x:v>
      </x:c>
      <x:c r="I15" s="22" t="str"/>
      <x:c r="J15" s="22" t="str"/>
    </x:row>
    <x:row r="16" ht="51" customHeight="1">
      <x:c r="A16" s="18" t="str">
        <x:v>J-PARC / HRC, 4SEASONS, AMATERAS</x:v>
      </x:c>
      <x:c r="B16" s="17" t="str">
        <x:v>ω / Omega; detector two-theta</x:v>
      </x:c>
      <x:c r="C16" s="17" t="str">
        <x:v>HRC planning ω is between the principal crystal axis and incident beam. 4SEASONS/AMATERAS tools use Omega sample azimuth and detector two-theta.</x:v>
      </x:c>
      <x:c r="D16" s="17" t="str">
        <x:v>Planning coordinate definitions; current raw encoder aliases, tilt axes and rotation order NV. DNA sample angle aliases also NV.</x:v>
      </x:c>
      <x:c r="E16" s="17" t="str">
        <x:v>Do not apply JRR-3 FILMAN C/A or ILL A1–A6 labels to these pulsed-source spectrometers.</x:v>
      </x:c>
      <x:c r="F16" s="17" t="str">
        <x:v>R27, R28, R29, R26</x:v>
      </x:c>
      <x:c r="G16" s="19" t="str">
        <x:f>IFERROR(HYPERLINK("https://mlfinfo.jp/_src/resource/PKrrqrH8Ai/MLF_AR_2020.pdf","R27: HRC instrument report, MLF Annual Report 2020"),"R27: HRC instrument report, MLF Annual Report 2020")</x:f>
        <x:v>R27: HRC instrument report, MLF Annual Report 2020</x:v>
      </x:c>
      <x:c r="H16" s="19" t="str">
        <x:f>IFERROR(HYPERLINK("https://nakajima.issp.u-tokyo.ac.jp/tools/4seasons_qe_range/","R28: Accessible Q-E range of 4SEASONS (BL01), T. Nakajima v0.4"),"R28: Accessible Q-E range of 4SEASONS (BL01), T. Nakajima v0.4")</x:f>
        <x:v>R28: Accessible Q-E range of 4SEASONS (BL01), T. Nakajima v0.4</x:v>
      </x:c>
      <x:c r="I16" s="19" t="str">
        <x:f>IFERROR(HYPERLINK("https://nakajima.issp.u-tokyo.ac.jp/tools/amateras_qe_range/","R29: Accessible Q-E range of AMATERAS (BL14), T. Nakajima v0.4"),"R29: Accessible Q-E range of AMATERAS (BL14), T. Nakajima v0.4")</x:f>
        <x:v>R29: Accessible Q-E range of AMATERAS (BL14), T. Nakajima v0.4</x:v>
      </x:c>
      <x:c r="J16" s="19" t="str">
        <x:f>IFERROR(HYPERLINK("https://mlfinfo.jp/en/aboutmlf/neutron.html","R26: J-PARC MLF: Neutron experiment"),"R26: J-PARC MLF: Neutron experiment")</x:f>
        <x:v>R26: J-PARC MLF: Neutron experiment</x:v>
      </x:c>
    </x:row>
    <x:row r="17" ht="43.5" customHeight="1">
      <x:c r="A17" s="23" t="str">
        <x:v>PSI / SINQ, SICS-MAD</x:v>
      </x:c>
      <x:c r="B17" s="22" t="str">
        <x:v>SGL; SGU; SRS; MGL/MGU; AGL/AGU</x:v>
      </x:c>
      <x:c r="C17" s="22" t="str">
        <x:v>Lower/upper sample arcs; second sample-table ring; mono/analyzer lower/upper goniometers.</x:v>
      </x:c>
      <x:c r="D17" s="22" t="str">
        <x:v>SRS is an extra sample rotation. MGL and AGL are reserved in the 2006 listing.</x:v>
      </x:c>
      <x:c r="E17" s="22" t="str">
        <x:v>Do not silently replace SINQ SGL/SGU with ILL GL/GU without a dialect mapping.</x:v>
      </x:c>
      <x:c r="F17" s="22" t="str">
        <x:v>R06</x:v>
      </x:c>
      <x:c r="G17" s="24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H17" s="22" t="str"/>
      <x:c r="I17" s="22" t="str"/>
      <x:c r="J17" s="22" t="str"/>
    </x:row>
    <x:row r="18" ht="51" customHeight="1">
      <x:c r="A18" s="18" t="str">
        <x:v>ESRF ID28 standard stage, 2015</x:v>
      </x:c>
      <x:c r="B18" s="17" t="str">
        <x:v>th → sphi (physical phi) → chi → optional adth</x:v>
      </x:c>
      <x:c r="C18" s="17" t="str">
        <x:v>th: outer vertical rotation. sphi: transverse tilt. chi: beam-axis tilt at zero outer rotations. adth: extra inner rotation.</x:v>
      </x:c>
      <x:c r="D18" s="17" t="str">
        <x:v>th carries sphi, which carries chi and optional adth. adth is parallel to th only at zero tilts. Exact tiltz/translation nesting is not fully verified.</x:v>
      </x:c>
      <x:c r="E18" s="17" t="str">
        <x:v>Clockwise viewing definitions are local. SPEC phi can be a pseudomotor following sphi or adth; retain configuration. No standard hardware psi was verified.</x:v>
      </x:c>
      <x:c r="F18" s="17" t="str">
        <x:v>R34, R33, R57</x:v>
      </x:c>
      <x:c r="G18" s="19" t="str">
        <x:f>IFERROR(HYPERLINK("https://www.esrf.fr/UsersAndScience/Experiments/DynExtrCond/ID28/BeamlineLayout/EH1/Sample","R34: ESRF ID28 Sample goniometer"),"R34: ESRF ID28 Sample goniometer")</x:f>
        <x:v>R34: ESRF ID28 Sample goniometer</x:v>
      </x:c>
      <x:c r="H18" s="19" t="str">
        <x:f>IFERROR(HYPERLINK("https://www.esrf.fr/files/live/sites/www/files/UsersAndScience/Experiments/EMD/ID28/UserManual/Manuals/ID28teammanual_2015_10_29.pdf","R33: Inelastic X-ray Scattering Beam-line ID28, beamline team manual"),"R33: Inelastic X-ray Scattering Beam-line ID28, beamline team manual")</x:f>
        <x:v>R33: Inelastic X-ray Scattering Beam-line ID28, beamline team manual</x:v>
      </x:c>
      <x:c r="I18" s="19" t="str">
        <x:f>IFERROR(HYPERLINK("https://www.esrf.fr/UsersAndScience/Experiments/DynExtrCond/ID28/UserManual/General","R57: ESRF ID28 General: The most important motors"),"R57: ESRF ID28 General: The most important motors")</x:f>
        <x:v>R57: ESRF ID28 General: The most important motors</x:v>
      </x:c>
      <x:c r="J18" s="17" t="str"/>
    </x:row>
    <x:row r="19" ht="51" customHeight="1">
      <x:c r="A19" s="23" t="str">
        <x:v>ESRF ID28 optional mounts, 2015</x:v>
      </x:c>
      <x:c r="B19" s="22" t="str">
        <x:v>omega; kappa; phi
additional chi through adth</x:v>
      </x:c>
      <x:c r="C19" s="22" t="str">
        <x:v>Optional κ goniostat has physical omega/kappa/phi. A DAC additional-chi mount can reuse the adth motor channel.</x:v>
      </x:c>
      <x:c r="D19" s="22" t="str">
        <x:v>κ mode uses DRAP channels deflth / deflz2 / dchi. Exact κ inclination and complete stage order NV.</x:v>
      </x:c>
      <x:c r="E19" s="22" t="str">
        <x:v>The channel name adth does not guarantee a vertical theta axis after remounting. Optional physical omega is distinct from calculated SPEC OMEGA.</x:v>
      </x:c>
      <x:c r="F19" s="22" t="str">
        <x:v>R33</x:v>
      </x:c>
      <x:c r="G19" s="24" t="str">
        <x:f>IFERROR(HYPERLINK("https://www.esrf.fr/files/live/sites/www/files/UsersAndScience/Experiments/EMD/ID28/UserManual/Manuals/ID28teammanual_2015_10_29.pdf","R33: Inelastic X-ray Scattering Beam-line ID28, beamline team manual"),"R33: Inelastic X-ray Scattering Beam-line ID28, beamline team manual")</x:f>
        <x:v>R33: Inelastic X-ray Scattering Beam-line ID28, beamline team manual</x:v>
      </x:c>
      <x:c r="H19" s="22" t="str"/>
      <x:c r="I19" s="22" t="str"/>
      <x:c r="J19" s="22" t="str"/>
    </x:row>
    <x:row r="20" ht="51" customHeight="1">
      <x:c r="A20" s="18" t="str">
        <x:v>SPEC FOURC mathematical coordinates
relevant to ID28 software</x:v>
      </x:c>
      <x:c r="B20" s="17" t="str">
        <x:v>psi / AZIMUTH; OMEGA; ALPHA; BETA</x:v>
      </x:c>
      <x:c r="C20" s="17" t="str">
        <x:v>ψ: azimuth of a chosen reference vector around Q. OMEGA = theta − tth/2. ALPHA/BETA are incident/exiting angles in the configured geometry.</x:v>
      </x:c>
      <x:c r="D20" s="17" t="str">
        <x:v>Reference hkl is set with setaz. ψ is undefined when that reference is parallel to Q; a ψ scan can require several physical motors.</x:v>
      </x:c>
      <x:c r="E20" s="17" t="str">
        <x:v>Generic SPEC definitions do not prove that a particular ID28 file contains a hardware ψ or ω axis.</x:v>
      </x:c>
      <x:c r="F20" s="17" t="str">
        <x:v>R58, R59</x:v>
      </x:c>
      <x:c r="G20" s="19" t="str">
        <x:f>IFERROR(HYPERLINK("https://www.certif.com/spec_manual/fourc_4_4_1_1_3.html","R58: Certified Scientific Software SPEC: Azimuth Fixed"),"R58: Certified Scientific Software SPEC: Azimuth Fixed")</x:f>
        <x:v>R58: Certified Scientific Software SPEC: Azimuth Fixed</x:v>
      </x:c>
      <x:c r="H20" s="19" t="str">
        <x:f>IFERROR(HYPERLINK("https://www.certif.com/spec_manual/fourc_4_9.html","R59: Certified Scientific Software SPEC: Four-Circle Variables"),"R59: Certified Scientific Software SPEC: Four-Circle Variables")</x:f>
        <x:v>R59: Certified Scientific Software SPEC: Four-Circle Variables</x:v>
      </x:c>
      <x:c r="I20" s="17" t="str"/>
      <x:c r="J20" s="17" t="str"/>
    </x:row>
    <x:row r="21" ht="51" customHeight="1">
      <x:c r="A21" s="23" t="str">
        <x:v>APS / HERIX sample stage</x:v>
      </x:c>
      <x:c r="B21" s="22" t="str">
        <x:v>θ / θ1; χ; Φ; θ2</x:v>
      </x:c>
      <x:c r="C21" s="22" t="str">
        <x:v>Official text names θ on Huber 424, χ on Huber 512 cradle and inner Φ on Huber 410. Drawings label coaxial base circles θ1/θ2.</x:v>
      </x:c>
      <x:c r="D21" s="22" t="str">
        <x:v>Drawing-derived order: vertical θ1 → χ cradle → inner Φ → sample carrier. Inner axes move with their parents. The two drawings depict different θ1 poses.</x:v>
      </x:c>
      <x:c r="E21" s="22" t="str">
        <x:v>Native SPEC mnemonic mapping, positive senses and calibrated zero vectors NV. No physical ψ or ω alias was verified. θ2 is not asserted numerically equal to sample 2θ.</x:v>
      </x:c>
      <x:c r="F21" s="22" t="str">
        <x:v>R40, R41, R60, R61</x:v>
      </x:c>
      <x:c r="G21" s="24" t="str">
        <x:f>IFERROR(HYPERLINK("https://www.aps.anl.gov/Sector-30/Sample-Environments","R40: APS Sector 30, Sample Environments"),"R40: APS Sector 30, Sample Environments")</x:f>
        <x:v>R40: APS Sector 30, Sample Environments</x:v>
      </x:c>
      <x:c r="H21" s="24" t="str">
        <x:f>IFERROR(HYPERLINK("https://www.aps.anl.gov/Sector-30/Sample-Environments/Huber","R41: APS Sector 30, Sample Environments: Eularien Cradle"),"R41: APS Sector 30, Sample Environments: Eularien Cradle")</x:f>
        <x:v>R41: APS Sector 30, Sample Environments: Eularien Cradle</x:v>
      </x:c>
      <x:c r="I21" s="24" t="str">
        <x:f>IFERROR(HYPERLINK("https://www.aps.anl.gov/sites/www.aps.anl.gov/files/APS-Uploads/SECTOR30/huber_system_DS_view.JPG","R60: HERIX Huber positioning system, downstream/front drawing"),"R60: HERIX Huber positioning system, downstream/front drawing")</x:f>
        <x:v>R60: HERIX Huber positioning system, downstream/front drawing</x:v>
      </x:c>
      <x:c r="J21" s="24" t="str">
        <x:f>IFERROR(HYPERLINK("https://www.aps.anl.gov/sites/www.aps.anl.gov/files/APS-Uploads/SECTOR30/huber_system_side_view.JPG","R61: HERIX Huber positioning system, side drawing"),"R61: HERIX Huber positioning system, side drawing")</x:f>
        <x:v>R61: HERIX Huber positioning system, side drawing</x:v>
      </x:c>
    </x:row>
    <x:row r="22" ht="51" customHeight="1">
      <x:c r="A22" s="18" t="str">
        <x:v>SPring-8 / BL43LXU sample stage</x:v>
      </x:c>
      <x:c r="B22" s="17" t="str">
        <x:v>omega (ω); chi (χ); phi (φ); tth</x:v>
      </x:c>
      <x:c r="C22" s="17" t="str">
        <x:v>Default Eulerian sample circles. χ changes the holder’s tilt relative to vertical. The two-theta arm is distinct; tth appears in an official SIXCIRCLE example.</x:v>
      </x:c>
      <x:c r="D22" s="17" t="str">
        <x:v>Verified partial DAC mount: phi stage → XYZ translations → holder/sample. Full rotational nesting and signed vectors NV; printed circle order alone is insufficient.</x:v>
      </x:c>
      <x:c r="E22" s="17" t="str">
        <x:v>Official names are verified, but a complete SPEC #O/#P motor header was not inspected. Do not assign a physical sample ψ from generic diffraction terminology.</x:v>
      </x:c>
      <x:c r="F22" s="17" t="str">
        <x:v>R45, R62, R63, R46</x:v>
      </x:c>
      <x:c r="G22" s="19" t="str">
        <x:f>IFERROR(HYPERLINK("https://beamline.harima.riken.jp/bl43lxu/pdfs/advice_thin_films.pdf","R45: Measuring IXS from Thin Films, Alfred Baron"),"R45: Measuring IXS from Thin Films, Alfred Baron")</x:f>
        <x:v>R45: Measuring IXS from Thin Films, Alfred Baron</x:v>
      </x:c>
      <x:c r="H22" s="19" t="str">
        <x:f>IFERROR(HYPERLINK("https://beamline.harima.riken.jp/bl43lxu/pdfs/overview_single_cystal_mounting_closed_cycle_system.pdf","R62: Single Crystal Mounting on Closed Cycle Systems, Alfred Baron"),"R62: Single Crystal Mounting on Closed Cycle Systems, Alfred Baron")</x:f>
        <x:v>R62: Single Crystal Mounting on Closed Cycle Systems, Alfred Baron</x:v>
      </x:c>
      <x:c r="I22" s="19" t="str">
        <x:f>IFERROR(HYPERLINK("https://beamline.harima.riken.jp/bl43lxu/mounting_%20DAC_%20on_eulerian_cradle.html","R63: Mounting a DAC on the Eulerian Cradle, Alfred Baron"),"R63: Mounting a DAC on the Eulerian Cradle, Alfred Baron")</x:f>
        <x:v>R63: Mounting a DAC on the Eulerian Cradle, Alfred Baron</x:v>
      </x:c>
      <x:c r="J22" s="19" t="str">
        <x:f>IFERROR(HYPERLINK("https://beamline.harima.riken.jp/bl43lxu/pdfs/confirm_sample_orientation.pdf","R46: Confirming the Sample Orientation, Alfred Baron"),"R46: Confirming the Sample Orientation, Alfred Baron")</x:f>
        <x:v>R46: Confirming the Sample Orientation, Alfred Baron</x:v>
      </x:c>
    </x:row>
    <x:row r="23" ht="51" customHeight="1">
      <x:c r="A23" s="23" t="str">
        <x:v>SPring-8 / BL43LXU analyzer and azimuth contexts</x:v>
      </x:c>
      <x:c r="B23" s="22" t="str">
        <x:v>Analyzer Ψ; sample azimuth</x:v>
      </x:c>
      <x:c r="C23" s="22" t="str">
        <x:v>The 2021 paper’s Ψ is analyzer rotation about its Bragg vector. The sample guide separately describes azimuthal rotation about the sample scattering vector Q.</x:v>
      </x:c>
      <x:c r="D23" s="22" t="str">
        <x:v>Analyzer Ψ is an optical crystal orientation. Sample azimuth leaves the chosen central Q unchanged but can change off-center analyzer momentum transfers.</x:v>
      </x:c>
      <x:c r="E23" s="22" t="str">
        <x:v>Neither definition establishes a native sample psi motor. A Q-azimuth scan is a coordinated geometric constraint unless a physical axis is demonstrated.</x:v>
      </x:c>
      <x:c r="F23" s="22" t="str">
        <x:v>R47, R64</x:v>
      </x:c>
      <x:c r="G23" s="24" t="str">
        <x:f>IFERROR(HYPERLINK("https://beamline.harima.riken.jp/bl43lxu/pdfs/baron_ishikawa_practical_resolution_meV_jsr2021.pdf","R47: Practical measurement of the energy resolution for meV-resolved inelastic X-ray scattering, D. Ishikawa and A.Q.R. Baron"),"R47: Practical measurement of the energy resolution for meV-resolved inelastic X-ray scattering, D. Ishikawa and A.Q.R. Baron")</x:f>
        <x:v>R47: Practical measurement of the energy resolution for meV-resolved inelastic X-ray scattering, D. Ishikawa and A.Q.R. Baron</x:v>
      </x:c>
      <x:c r="H23" s="24" t="str">
        <x:f>IFERROR(HYPERLINK("https://beamline.harima.riken.jp/bl43lxu/advice_single_crystal.html","R64: Advice for Single Crystals, BL43LXU local user guide"),"R64: Advice for Single Crystals, BL43LXU local user guide")</x:f>
        <x:v>R64: Advice for Single Crystals, BL43LXU local user guide</x:v>
      </x:c>
      <x:c r="I23" s="22" t="str"/>
      <x:c r="J23" s="22" t="str"/>
    </x:row>
    <x:row r="24" ht="51" customHeight="1">
      <x:c r="A24" s="18" t="str">
        <x:v>TAVI sample mounting and offsets</x:v>
      </x:c>
      <x:c r="B24" s="17" t="str">
        <x:v>A3 / omega; sgl; sgu; ψ / psi; κ / kappa; mis_chi</x:v>
      </x:c>
      <x:c r="C24" s="17" t="str">
        <x:v>A3 full turntable readout; sgl/sgu physical tilt readouts. ψ corrects turntable zero; κ corrects lower arc. mis_chi is a hidden lower-arc zero error.</x:v>
      </x:c>
      <x:c r="D24" s="17" t="str">
        <x:v>Beam +z, up +y. Outer A3 about y → sgl about local x → sgu about local z. Physical angle = readout + applicable correction + hidden zero error.</x:v>
      </x:c>
      <x:c r="E24" s="17" t="str">
        <x:v>TAVI psi is an offset, unlike MLZ psi rocking role or SPEC ψ azimuth. kappa is a correction, not an inclined κ cradle.</x:v>
      </x:c>
      <x:c r="F24" s="17" t="str">
        <x:v>R31</x:v>
      </x:c>
      <x:c r="G24" s="19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  <x:c r="H24" s="17" t="str"/>
      <x:c r="I24" s="17" t="str"/>
      <x:c r="J24" s="17" t="str"/>
    </x:row>
    <x:row r="25" ht="51" customHeight="1">
      <x:c r="A25" s="23" t="str">
        <x:v>ORNL / Savici 2011 reduction example</x:v>
      </x:c>
      <x:c r="B25" s="22" t="str">
        <x:v>ω; ψ; φ; χ; δ; μ; ν</x:v>
      </x:c>
      <x:c r="C25" s="22" t="str">
        <x:v>ω full sample rotation in the example; ψ ki-to-first-orientation-vector angle; φ detector azimuth; χ/δ alternative horizontal/elevation detector angles.</x:v>
      </x:c>
      <x:c r="D25" s="22" t="str">
        <x:v>Beam +z, up +y. Example Ry(ω) Rz(μ) Rx(ν); notes explicitly distinguish HFIR TAS’s other stage order.</x:v>
      </x:c>
      <x:c r="E25" s="22" t="str">
        <x:v>Mathematical/reduction notation, not native SPICE motor aliases. χ here is a detector direction, not a sample tilt.</x:v>
      </x:c>
      <x:c r="F25" s="22" t="str">
        <x:v>R65</x:v>
      </x:c>
      <x:c r="G25" s="24" t="str">
        <x:f>IFERROR(HYPERLINK("https://spectroscopy.ornl.gov/ARCS/crystal_alignment/UBMatriximplementationnotes.pdf","R65: A. T. Savici, Introduction to the use the UB matrix (16 March 2011), ORNL"),"R65: A. T. Savici, Introduction to the use the UB matrix (16 March 2011), ORNL")</x:f>
        <x:v>R65: A. T. Savici, Introduction to the use the UB matrix (16 March 2011), ORNL</x:v>
      </x:c>
      <x:c r="H25" s="22" t="str"/>
      <x:c r="I25" s="22" t="str"/>
      <x:c r="J25" s="22" t="str"/>
    </x:row>
    <x:row r="27" ht="28.5" customHeight="1">
      <x:c r="A27" s="28" t="str">
        <x:v>“Outer → inner” lists physical carrier order. It is not a list of interchangeable fixed laboratory axes. The same label can describe a motor, an offset, a calculated constraint or a detector direction.</x:v>
      </x:c>
      <x:c r="B27" s="28"/>
      <x:c r="C27" s="28"/>
      <x:c r="D27" s="28"/>
      <x:c r="E27" s="28"/>
      <x:c r="F27" s="28"/>
    </x:row>
  </x:sheetData>
  <x:mergeCells>
    <x:mergeCell ref="A27:F27"/>
  </x:mergeCells>
  <x:pageMargins left="0.7" right="0.7" top="0.75" bottom="0.75" header="0.3" footer="0.3"/>
  <x:tableParts count="1">
    <x:tablePart xmlns:r="http://schemas.openxmlformats.org/officeDocument/2006/relationships" r:id="R6d4810e243b24d40"/>
  </x:tableParts>
</x:worksheet>
</file>

<file path=xl/worksheets/sheet4.xml><?xml version="1.0" encoding="utf-8"?>
<x:worksheet xmlns:x="http://schemas.openxmlformats.org/spreadsheetml/2006/main">
  <x:sheetPr>
    <x:tabColor rgb="FF2544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.33000183105469" hidden="0" customWidth="1"/>
    <x:col min="2" max="2" width="62.220001220703125" hidden="0" customWidth="1"/>
    <x:col min="3" max="3" width="62.220001220703125" hidden="0" customWidth="1"/>
    <x:col min="4" max="4" width="60" hidden="0" customWidth="1"/>
    <x:col min="5" max="5" width="12.220000267028809" hidden="0" customWidth="1"/>
    <x:col min="6" max="6" width="34.439998626708984" hidden="0" customWidth="1"/>
    <x:col min="7" max="7" width="34.439998626708984" hidden="0" customWidth="1"/>
    <x:col min="8" max="8" width="34.439998626708984" hidden="0" customWidth="1"/>
    <x:col min="9" max="9" width="34.439998626708984" hidden="0" customWidth="1"/>
    <x:col min="10" max="10" width="34.4399986267089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5" t="str">
        <x:v>Readout conversion: frame, zero, sign and coupling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7" t="str">
        <x:v>A correct name mapping is only the first step. Numerical interchange also needs mechanical reference frames, calibrated zeros and the selected crystal or scattering branch.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8"/>
      <x:c r="B4" s="8"/>
      <x:c r="C4" s="8"/>
      <x:c r="D4" s="8"/>
      <x:c r="E4" s="8"/>
      <x:c r="F4" s="3"/>
      <x:c r="G4" s="3"/>
      <x:c r="H4" s="3"/>
      <x:c r="I4" s="3"/>
      <x:c r="J4" s="3"/>
    </x:row>
    <x:row r="5" ht="44" customHeight="1">
      <x:c r="A5" s="12" t="str">
        <x:v>Context</x:v>
      </x:c>
      <x:c r="B5" s="13" t="str">
        <x:v>Frame / positive sense</x:v>
      </x:c>
      <x:c r="C5" s="13" t="str">
        <x:v>Zero, coupling and wrapping</x:v>
      </x:c>
      <x:c r="D5" s="13" t="str">
        <x:v>What to preserve in an adapter</x:v>
      </x:c>
      <x:c r="E5" s="13" t="str">
        <x:v>Evidence</x:v>
      </x:c>
      <x:c r="F5" s="13" t="str">
        <x:v>Source 1</x:v>
      </x:c>
      <x:c r="G5" s="13" t="str">
        <x:v>Source 2</x:v>
      </x:c>
      <x:c r="H5" s="13" t="str">
        <x:v>Source 3</x:v>
      </x:c>
      <x:c r="I5" s="13" t="str">
        <x:v>Source 4</x:v>
      </x:c>
      <x:c r="J5" s="14" t="str">
        <x:v>Source 5</x:v>
      </x:c>
    </x:row>
    <x:row r="6" ht="51" customHeight="1">
      <x:c r="A6" s="18" t="str">
        <x:v>Brookhaven PDP-11, 1975</x:v>
      </x:c>
      <x:c r="B6" s="17" t="str">
        <x:v>IM / IS / IA select signs of mono/sample/analyzer 2θ. The manual describes a usual left-handed (H,K) convention tied to its IM and geometry choices.</x:v>
      </x:c>
      <x:c r="C6" s="17" t="str">
        <x:v>Motor-zero and full Q-vector sign conventions are not recovered for this historical configuration.</x:v>
      </x:c>
      <x:c r="D6" s="17" t="str">
        <x:v>Motor-number lookup, IM/IS/IA and its reciprocal coordinate convention. Do not transfer “Brookhaven” handedness to another era or to TAVI.</x:v>
      </x:c>
      <x:c r="E6" s="17" t="str">
        <x:v>R01</x:v>
      </x:c>
      <x:c r="F6" s="19" t="str">
        <x:f>IFERROR(HYPERLINK("https://www.osti.gov/servlets/purl/4187974","R01: R. Pynn and R. Youngblood, PDP-11 Spectrometer Control System, BNL-20195 (June 1975)"),"R01: R. Pynn and R. Youngblood, PDP-11 Spectrometer Control System, BNL-20195 (June 1975)")</x:f>
        <x:v>R01: R. Pynn and R. Youngblood, PDP-11 Spectrometer Control System, BNL-20195 (June 1975)</x:v>
      </x:c>
      <x:c r="G6" s="17" t="str"/>
      <x:c r="H6" s="17" t="str"/>
      <x:c r="I6" s="17" t="str"/>
      <x:c r="J6" s="17" t="str"/>
    </x:row>
    <x:row r="7" ht="43.5" customHeight="1">
      <x:c r="A7" s="23" t="str">
        <x:v>ILL / MAD and PSI SICS-MAD</x:v>
      </x:c>
      <x:c r="B7" s="22" t="str">
        <x:v>SM / SS / SA; positive denotes left scattering in this manual.</x:v>
      </x:c>
      <x:c r="C7" s="22" t="str">
        <x:v>A3 zero puts the first orientation vector along ki. Mono/analyzer physical Bragg zeros are grazing-incidence zeros in the ResLibCal description.</x:v>
      </x:c>
      <x:c r="D7" s="22" t="str">
        <x:v>Three scattering senses, orientation-vector definition, motor zeros and auxiliary arc units. Angle-name equivalence alone does not set signs.</x:v>
      </x:c>
      <x:c r="E7" s="22" t="str">
        <x:v>R06, R07</x:v>
      </x:c>
      <x:c r="F7" s="24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G7" s="24" t="str">
        <x:f>IFERROR(HYPERLINK("https://ifit.mccode.org/Applications/ResLibCal/doc/ResLibCal.html","R07: E. Farhi (ILL), ResLibCal manual, 2018"),"R07: E. Farhi (ILL), ResLibCal manual, 2018")</x:f>
        <x:v>R07: E. Farhi (ILL), ResLibCal manual, 2018</x:v>
      </x:c>
      <x:c r="H7" s="22" t="str"/>
      <x:c r="I7" s="22" t="str"/>
      <x:c r="J7" s="22" t="str"/>
    </x:row>
    <x:row r="8" ht="78" customHeight="1">
      <x:c r="A8" s="18" t="str">
        <x:v>ORNL / SPICE and 2005 UB formalism</x:v>
      </x:c>
      <x:c r="B8" s="17" t="str">
        <x:v>Beam +y, up +z; Q=ki−kf and energy transfer Ei−Ef. SPICE defines positive angles counterclockwise; plusminus gives M/S/A senses.</x:v>
      </x:c>
      <x:c r="C8" s="17" t="str">
        <x:v>Full sample rotation s=θ+ω; stage Rz(s) Ry(μ) Rx(ν). s2=0 is straight-through beam. U encodes the crystal at stage zero.</x:v>
      </x:c>
      <x:c r="D8" s="17" t="str">
        <x:v>Frame permutation, full sample angle, arc attachment order, M/S/A senses and calibrated UB. Do not equate the paper’s ω alone with s1.</x:v>
      </x:c>
      <x:c r="E8" s="17" t="str">
        <x:v>R66, R03, R49</x:v>
      </x:c>
      <x:c r="F8" s="19" t="str">
        <x:f>IFERROR(HYPERLINK("https://neutron.ornl.gov/spice/command_plusminus.html","R66: ORNL SPICE command reference, plusminus"),"R66: ORNL SPICE command reference, plusminus")</x:f>
        <x:v>R66: ORNL SPICE command reference, plusminus</x:v>
      </x:c>
      <x:c r="G8" s="19" t="str">
        <x:f>IFERROR(HYPERLINK("https://neutron.ornl.gov/spice/howto_alignspectrometer.html","R03: ORNL SPICE, How to align a triple-axis spectrometer"),"R03: ORNL SPICE, How to align a triple-axis spectrometer")</x:f>
        <x:v>R03: ORNL SPICE, How to align a triple-axis spectrometer</x:v>
      </x:c>
      <x:c r="H8" s="19" t="str">
        <x:f>IFERROR(HYPERLINK("https://www.researchgate.net/publication/244635363_UB_matrix_implementation_for_inelastic_neutron_scattering_experiments","R49: M. D. Lumsden, J. L. Robertson and M. Yethiraj, UB matrix implementation for inelastic neutron scattering experiments, J. Appl. Cryst. 38, 405–411 (2005), DOI 10.1107/S0021889805004875"),"R49: M. D. Lumsden, J. L. Robertson and M. Yethiraj, UB matrix implementation for inelastic neutron scattering experiments, J. Appl. Cryst. 38, 405–411 (2005), DOI 10.1107/S0021889805004875")</x:f>
        <x:v>R49: M. D. Lumsden, J. L. Robertson and M. Yethiraj, UB matrix implementation for inelastic neutron scattering experiments, J. Appl. Cryst. 38, 405–411 (2005), DOI 10.1107/S0021889805004875</x:v>
      </x:c>
      <x:c r="I8" s="17" t="str"/>
      <x:c r="J8" s="17" t="str"/>
    </x:row>
    <x:row r="9" ht="43.5" customHeight="1">
      <x:c r="A9" s="23" t="str">
        <x:v>MLZ / PUMA NICOS snapshot</x:v>
      </x:c>
      <x:c r="B9" s="22" t="str">
        <x:v>Default senses M/S/A=(−1,+1,−1). The PUMA manual uses Q=ki−kf.</x:v>
      </x:c>
      <x:c r="C9" s="22" t="str">
        <x:v>Relative-theta mono and analyzer readouts. Sample orientation input = sth + psi0 + stt; output wrapping may be 0–360°. axiscoupling=True.</x:v>
      </x:c>
      <x:c r="D9" s="22" t="str">
        <x:v>NICOS sense, crystalside, reltheta, axiscoupling, psi0 and wrap. These are configuration facts, not a live calibration survey.</x:v>
      </x:c>
      <x:c r="E9" s="22" t="str">
        <x:v>R09, R08, R10, R11</x:v>
      </x:c>
      <x:c r="F9" s="24" t="str">
        <x:f>IFERROR(HYPERLINK("https://github.com/mlz-ictrl/nicos/blob/ccee1a45a3981765a2fe64c75bdeff281091e733/nicos_mlz/puma/setups/pumabase.py","R09: MLZ NICOS PUMA base configuration"),"R09: MLZ NICOS PUMA base configuration")</x:f>
        <x:v>R09: MLZ NICOS PUMA base configuration</x:v>
      </x:c>
      <x:c r="G9" s="24" t="str">
        <x:f>IFERROR(HYPERLINK("https://wiki.mlz-garching.de/_media/fopra:puma_manual_eng.pdf","R08: PUMA practical-course manual, 2011"),"R08: PUMA practical-course manual, 2011")</x:f>
        <x:v>R08: PUMA practical-course manual, 2011</x:v>
      </x:c>
      <x:c r="H9" s="24" t="str">
        <x:f>IFERROR(HYPERLINK("https://github.com/mlz-ictrl/nicos/blob/ccee1a45a3981765a2fe64c75bdeff281091e733/nicos/devices/tas/mono.py","R10: NICOS monochromator/analyzer angle conversion"),"R10: NICOS monochromator/analyzer angle conversion")</x:f>
        <x:v>R10: NICOS monochromator/analyzer angle conversion</x:v>
      </x:c>
      <x:c r="I9" s="24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  <x:c r="J9" s="22" t="str"/>
    </x:row>
    <x:row r="10" ht="43.5" customHeight="1">
      <x:c r="A10" s="18" t="str">
        <x:v>MLZ / PANDA NICOS snapshot</x:v>
      </x:c>
      <x:c r="B10" s="17" t="str">
        <x:v>Default senses M/S/A=(−1,+1,−1). Physical sgx/sgy and virtual vg1/vg2 are separate.</x:v>
      </x:c>
      <x:c r="C10" s="17" t="str">
        <x:v>Relative PG monochromator; default PG analyzer not relative. Sample orientation input = sth + psi0; default axiscoupling=False.</x:v>
      </x:c>
      <x:c r="D10" s="17" t="str">
        <x:v>Per-optic settings and selected sample-table alias; do not reuse PUMA’s sample coupling merely because motor mnemonics match.</x:v>
      </x:c>
      <x:c r="E10" s="17" t="str">
        <x:v>R13, R14, R51, R15, R11</x:v>
      </x:c>
      <x:c r="F10" s="19" t="str">
        <x:f>IFERROR(HYPERLINK("https://github.com/mlz-ictrl/nicos/blob/ccee1a45a3981765a2fe64c75bdeff281091e733/nicos_mlz/panda/setups/panda.py","R13: MLZ NICOS PANDA setup"),"R13: MLZ NICOS PANDA setup")</x:f>
        <x:v>R13: MLZ NICOS PANDA setup</x:v>
      </x:c>
      <x:c r="G10" s="19" t="str">
        <x:f>IFERROR(HYPERLINK("https://github.com/mlz-ictrl/nicos/blob/ccee1a45a3981765a2fe64c75bdeff281091e733/nicos_mlz/panda/setups/mono_pg.py","R14: MLZ NICOS PANDA PG monochromator"),"R14: MLZ NICOS PANDA PG monochromator")</x:f>
        <x:v>R14: MLZ NICOS PANDA PG monochromator</x:v>
      </x:c>
      <x:c r="H10" s="19" t="str">
        <x:f>IFERROR(HYPERLINK("https://github.com/mlz-ictrl/nicos/blob/ccee1a45a3981765a2fe64c75bdeff281091e733/nicos_mlz/panda/setups/sampletable.py","R51: MLZ NICOS PANDA sample table"),"R51: MLZ NICOS PANDA sample table")</x:f>
        <x:v>R51: MLZ NICOS PANDA sample table</x:v>
      </x:c>
      <x:c r="I10" s="19" t="str">
        <x:f>IFERROR(HYPERLINK("https://github.com/mlz-ictrl/nicos/blob/ccee1a45a3981765a2fe64c75bdeff281091e733/nicos/devices/tas/spectro.py","R15: NICOS TAS role definitions"),"R15: NICOS TAS role definitions")</x:f>
        <x:v>R15: NICOS TAS role definitions</x:v>
      </x:c>
      <x:c r="J10" s="19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</x:row>
    <x:row r="11" ht="51" customHeight="1">
      <x:c r="A11" s="23" t="str">
        <x:v>ESRF ID28 standard stage, 2015</x:v>
      </x:c>
      <x:c r="B11" s="22" t="str">
        <x:v>th: clockwise from above; sphi: clockwise looking toward ring wall; chi: clockwise looking toward original undulator source. Sample beam returns toward that source after monochromator backscattering.</x:v>
      </x:c>
      <x:c r="C11" s="22" t="str">
        <x:v>Crystal zero comes from alignment/UB. tth=0 is tied to analyzer 2 in this manual; channel offsets are calibrated separately. Standard adth is parallel to th only at zero tilt.</x:v>
      </x:c>
      <x:c r="D11" s="22" t="str">
        <x:v>Actual mount mode, physical versus pseudo phi, local viewing directions, channel offsets and units. Full native software Q sign remains NV.</x:v>
      </x:c>
      <x:c r="E11" s="22" t="str">
        <x:v>R57, R67, R34, R33</x:v>
      </x:c>
      <x:c r="F11" s="24" t="str">
        <x:f>IFERROR(HYPERLINK("https://www.esrf.fr/UsersAndScience/Experiments/DynExtrCond/ID28/UserManual/General","R57: ESRF ID28 General: The most important motors"),"R57: ESRF ID28 General: The most important motors")</x:f>
        <x:v>R57: ESRF ID28 General: The most important motors</x:v>
      </x:c>
      <x:c r="G11" s="24" t="str">
        <x:f>IFERROR(HYPERLINK("https://www.esrf.fr/cms/live/live/en/sites/www/home/UsersAndScience/Experiments/ID28/BeamlineLayout.html","R67: ESRF ID28 Beamline Layout"),"R67: ESRF ID28 Beamline Layout")</x:f>
        <x:v>R67: ESRF ID28 Beamline Layout</x:v>
      </x:c>
      <x:c r="H11" s="24" t="str">
        <x:f>IFERROR(HYPERLINK("https://www.esrf.fr/UsersAndScience/Experiments/DynExtrCond/ID28/BeamlineLayout/EH1/Sample","R34: ESRF ID28 Sample goniometer"),"R34: ESRF ID28 Sample goniometer")</x:f>
        <x:v>R34: ESRF ID28 Sample goniometer</x:v>
      </x:c>
      <x:c r="I11" s="24" t="str">
        <x:f>IFERROR(HYPERLINK("https://www.esrf.fr/files/live/sites/www/files/UsersAndScience/Experiments/EMD/ID28/UserManual/Manuals/ID28teammanual_2015_10_29.pdf","R33: Inelastic X-ray Scattering Beam-line ID28, beamline team manual"),"R33: Inelastic X-ray Scattering Beam-line ID28, beamline team manual")</x:f>
        <x:v>R33: Inelastic X-ray Scattering Beam-line ID28, beamline team manual</x:v>
      </x:c>
      <x:c r="J11" s="22" t="str"/>
    </x:row>
    <x:row r="12" ht="43.5" customHeight="1">
      <x:c r="A12" s="18" t="str">
        <x:v>TAVI pinned repository geometry</x:v>
      </x:c>
      <x:c r="B12" s="17" t="str">
        <x:v>Beam +z, up +y; right-handed sample rotations. Sample sense participates in the selected ±UBhkl branch.</x:v>
      </x:c>
      <x:c r="C12" s="17" t="str">
        <x:v>Ry(A3) Rx(sgl) Rz(sgu). Physical angles add corrections/hidden zeros. Monochromator θ=A1/2; analyzer θ=A4/2 in the runtime.</x:v>
      </x:c>
      <x:c r="D12" s="17" t="str">
        <x:v>Stage rotations, U reference, corrections, detector/sample sense and reciprocal-space branch. A renamed motor must not silently change geometry.</x:v>
      </x:c>
      <x:c r="E12" s="17" t="str">
        <x:v>R31, R32</x:v>
      </x:c>
      <x:c r="F12" s="19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  <x:c r="G12" s="19" t="str">
        <x:f>IFERROR(HYPERLINK("https://github.com/ammerritt-gh/TAVI-Triple-Axis-Virtual-Instrument/blob/4547acb69d0117839ba7d2b96e20fc43ab594c3d/instruments/tas_runtime.py","R32: TAVI runtime Bragg angle conversion"),"R32: TAVI runtime Bragg angle conversion")</x:f>
        <x:v>R32: TAVI runtime Bragg angle conversion</x:v>
      </x:c>
      <x:c r="H12" s="17" t="str"/>
      <x:c r="I12" s="17" t="str"/>
      <x:c r="J12" s="17" t="str"/>
    </x:row>
    <x:row r="13" ht="51" customHeight="1">
      <x:c r="A13" s="23" t="str">
        <x:v>LLB / Orphée, source scopes</x:v>
      </x:c>
      <x:c r="B13" s="22" t="str">
        <x:v>Brochure uses Q=ki−kf and ħω=Ei−Ef. Its ψ denotes sample scattering.</x:v>
      </x:c>
      <x:c r="C13" s="22" t="str">
        <x:v>e1 sample motor zero, positive direction and tilt order NV in the naming passage. Exact brochure φ/θ reference rays unresolved.</x:v>
      </x:c>
      <x:c r="D13" s="22" t="str">
        <x:v>Keep brochure notation separate from first-hand motor usage. A full six-role adapter cannot be reconstructed from the recovered LLB sources alone.</x:v>
      </x:c>
      <x:c r="E13" s="22" t="str">
        <x:v>R16, R17</x:v>
      </x:c>
      <x:c r="F13" s="24" t="str">
        <x:f>IFERROR(HYPERLINK("https://iramis.cea.fr/wp-content/uploads/2024/11/LLB-48pages-fr-2003.pdf","R16: Laboratoire Léon Brillouin, institutional 2003 brochure"),"R16: Laboratoire Léon Brillouin, institutional 2003 brochure")</x:f>
        <x:v>R16: Laboratoire Léon Brillouin, institutional 2003 brochure</x:v>
      </x:c>
      <x:c r="G13" s="24" t="str">
        <x:f>IFERROR(HYPERLINK("https://kups.ub.uni-koeln.de/9182/1/PhD_wasser%20_Druck.pdf","R17: Florian Tim Waßer, Magnetic Excitations in Iron-based Superconductors, University of Cologne, 2018"),"R17: Florian Tim Waßer, Magnetic Excitations in Iron-based Superconductors, University of Cologne, 2018")</x:f>
        <x:v>R17: Florian Tim Waßer, Magnetic Excitations in Iron-based Superconductors, University of Cologne, 2018</x:v>
      </x:c>
      <x:c r="H13" s="22" t="str"/>
      <x:c r="I13" s="22" t="str"/>
      <x:c r="J13" s="22" t="str"/>
    </x:row>
    <x:row r="14" ht="51" customHeight="1">
      <x:c r="A14" s="18" t="str">
        <x:v>Berlin / multiflexxlib analysis, 2018</x:v>
      </x:c>
      <x:c r="B14" s="17" t="str">
        <x:v>Code forms kf−ki, then applies inverse sample rotation. Sample-frame x follows the first orientation reflection; z follows the orientation-plane normal.</x:v>
      </x:c>
      <x:c r="C14" s="17" t="str">
        <x:v>a3/a4 are degrees with explicit additive corrections a3_add/a4_add. At the mathematical a3 zero, ki points along −sample x. Positive a4 rotates kf counterclockwise.</x:v>
      </x:c>
      <x:c r="D14" s="17" t="str">
        <x:v>This is the published analysis convention, not a raw controller zero. Preserve Q sign and offsets; do not assign it universally to BER II instruments.</x:v>
      </x:c>
      <x:c r="E14" s="17" t="str">
        <x:v>R68</x:v>
      </x:c>
      <x:c r="F14" s="19" t="str">
        <x:f>IFERROR(HYPERLINK("https://github.com/ElsevierSoftwareX/SOFTX_2018_81/blob/cc2bfcb9a68ed19f2a127c96b9704e3c8eda9571/multiflexxlib/ub.py","R68: multiflexxlib/ub.py, author-published software"),"R68: multiflexxlib/ub.py, author-published software")</x:f>
        <x:v>R68: multiflexxlib/ub.py, author-published software</x:v>
      </x:c>
      <x:c r="G14" s="17" t="str"/>
      <x:c r="H14" s="17" t="str"/>
      <x:c r="I14" s="17" t="str"/>
      <x:c r="J14" s="17" t="str"/>
    </x:row>
    <x:row r="15" ht="51" customHeight="1">
      <x:c r="A15" s="23" t="str">
        <x:v>Japan / FILMAN; PONTA/TOPAN examples</x:v>
      </x:c>
      <x:c r="B15" s="22" t="str">
        <x:v>FILMAN permits angle-zero redefinition and an A2 sign setting. A 2024 PONTA elastic calculator outputs negative A2; TOPAN publishes positive sample-scattering coverage.</x:v>
      </x:c>
      <x:c r="C15" s="22" t="str">
        <x:v>PONTA calculator C2 includes omega_offset. The published branch and travel range do not establish every instrument’s raw encoder sense.</x:v>
      </x:c>
      <x:c r="D15" s="22" t="str">
        <x:v>Retain motor zero, A2 sign, orientation offset and calculator/control version. Identical C/A names do not prove identical signed readouts.</x:v>
      </x:c>
      <x:c r="E15" s="22" t="str">
        <x:v>R22, R69, R70</x:v>
      </x:c>
      <x:c r="F15" s="24" t="str">
        <x:f>IFERROR(HYPERLINK("https://www.issp.u-tokyo.ac.jp/labs/neutron/inst/GPTAS/filman_manual061026_3.pdf","R22: FILMAN manual v3.1"),"R22: FILMAN manual v3.1")</x:f>
        <x:v>R22: FILMAN manual v3.1</x:v>
      </x:c>
      <x:c r="G15" s="24" t="str">
        <x:f>IFERROR(HYPERLINK("https://github.com/taro-nakajima/accessible-qe-range-ponta/blob/main/PONTA_QErange.js","R69: PONTA_QErange.js, T. Nakajima"),"R69: PONTA_QErange.js, T. Nakajima")</x:f>
        <x:v>R69: PONTA_QErange.js, T. Nakajima</x:v>
      </x:c>
      <x:c r="H15" s="24" t="str">
        <x:f>IFERROR(HYPERLINK("https://nsl-appl.issp.u-tokyo.ac.jp/files/inst/fs/fs_6G_TOPAN_en.pdf","R70: TOPAN official fact sheet, Type B version 2023"),"R70: TOPAN official fact sheet, Type B version 2023")</x:f>
        <x:v>R70: TOPAN official fact sheet, Type B version 2023</x:v>
      </x:c>
      <x:c r="I15" s="22" t="str"/>
      <x:c r="J15" s="22" t="str"/>
    </x:row>
    <x:row r="16" ht="51" customHeight="1">
      <x:c r="A16" s="18" t="str">
        <x:v>J-PARC planning versus controls</x:v>
      </x:c>
      <x:c r="B16" s="17" t="str">
        <x:v>HRC ω has a principal-crystal-axis/incident-beam reference; detector banks provide many outgoing ray directions.</x:v>
      </x:c>
      <x:c r="C16" s="17" t="str">
        <x:v>4SEASONS and AMATERAS planning Omega is in degrees. Controller aliases, encoder zeros, tilt nesting and full Q-sign conventions NV in these sources.</x:v>
      </x:c>
      <x:c r="D16" s="17" t="str">
        <x:v>Carry the orientation matrix and per-detector geometry. Keep planning notation distinct from a hardware channel name; mark TAS optics N/A only where the method lacks them.</x:v>
      </x:c>
      <x:c r="E16" s="17" t="str">
        <x:v>R27, R28, R29, R26</x:v>
      </x:c>
      <x:c r="F16" s="19" t="str">
        <x:f>IFERROR(HYPERLINK("https://mlfinfo.jp/_src/resource/PKrrqrH8Ai/MLF_AR_2020.pdf","R27: HRC instrument report, MLF Annual Report 2020"),"R27: HRC instrument report, MLF Annual Report 2020")</x:f>
        <x:v>R27: HRC instrument report, MLF Annual Report 2020</x:v>
      </x:c>
      <x:c r="G16" s="19" t="str">
        <x:f>IFERROR(HYPERLINK("https://nakajima.issp.u-tokyo.ac.jp/tools/4seasons_qe_range/","R28: Accessible Q-E range of 4SEASONS (BL01), T. Nakajima v0.4"),"R28: Accessible Q-E range of 4SEASONS (BL01), T. Nakajima v0.4")</x:f>
        <x:v>R28: Accessible Q-E range of 4SEASONS (BL01), T. Nakajima v0.4</x:v>
      </x:c>
      <x:c r="H16" s="19" t="str">
        <x:f>IFERROR(HYPERLINK("https://nakajima.issp.u-tokyo.ac.jp/tools/amateras_qe_range/","R29: Accessible Q-E range of AMATERAS (BL14), T. Nakajima v0.4"),"R29: Accessible Q-E range of AMATERAS (BL14), T. Nakajima v0.4")</x:f>
        <x:v>R29: Accessible Q-E range of AMATERAS (BL14), T. Nakajima v0.4</x:v>
      </x:c>
      <x:c r="I16" s="19" t="str">
        <x:f>IFERROR(HYPERLINK("https://mlfinfo.jp/en/aboutmlf/neutron.html","R26: J-PARC MLF: Neutron experiment"),"R26: J-PARC MLF: Neutron experiment")</x:f>
        <x:v>R26: J-PARC MLF: Neutron experiment</x:v>
      </x:c>
      <x:c r="J16" s="17" t="str"/>
    </x:row>
    <x:row r="17" ht="78" customHeight="1">
      <x:c r="A17" s="23" t="str">
        <x:v>APS / HERIX published stage and optics</x:v>
      </x:c>
      <x:c r="B17" s="22" t="str">
        <x:v>Horizontal sample scattering. θ1 is a vertical carrier axis in drawings; χ and Φ axes move with their parents. Full signed native lab frame NV.</x:v>
      </x:c>
      <x:c r="C17" s="22" t="str">
        <x:v>Sample angles are documented in degrees; HRM scan increments in µrad. Sample zeros/signs and raw θ1/θ2 aliases are NV. Per-analyzer pitch/yaw are optical alignment angles.</x:v>
      </x:c>
      <x:c r="D17" s="22" t="str">
        <x:v>Preserve hardware era and sample environment. Use the actual control configuration to map θ/θ1, χ, Φ and arm readouts; historical optic Bragg angles are not encoder zeros.</x:v>
      </x:c>
      <x:c r="E17" s="22" t="str">
        <x:v>R40, R41, R38</x:v>
      </x:c>
      <x:c r="F17" s="24" t="str">
        <x:f>IFERROR(HYPERLINK("https://www.aps.anl.gov/Sector-30/Sample-Environments","R40: APS Sector 30, Sample Environments"),"R40: APS Sector 30, Sample Environments")</x:f>
        <x:v>R40: APS Sector 30, Sample Environments</x:v>
      </x:c>
      <x:c r="G17" s="24" t="str">
        <x:f>IFERROR(HYPERLINK("https://www.aps.anl.gov/Sector-30/Sample-Environments/Huber","R41: APS Sector 30, Sample Environments: Eularien Cradle"),"R41: APS Sector 30, Sample Environments: Eularien Cradle")</x:f>
        <x:v>R41: APS Sector 30, Sample Environments: Eularien Cradle</x:v>
      </x:c>
      <x:c r="H17" s="24" t="str">
        <x:f>IFERROR(HYPERLINK("https://journals.iucr.org/s/issues/2020/03/00/ok5012/index.html","R38: Said et al., High-energy-resolution inelastic X-ray scattering spectrometer at beamline 30-ID of the Advanced Photon Source, J. Synchrotron Rad. 27 (2020) 827–835"),"R38: Said et al., High-energy-resolution inelastic X-ray scattering spectrometer at beamline 30-ID of the Advanced Photon Source, J. Synchrotron Rad. 27 (2020) 827–835")</x:f>
        <x:v>R38: Said et al., High-energy-resolution inelastic X-ray scattering spectrometer at beamline 30-ID of the Advanced Photon Source, J. Synchrotron Rad. 27 (2020) 827–835</x:v>
      </x:c>
      <x:c r="I17" s="22" t="str"/>
      <x:c r="J17" s="22" t="str"/>
    </x:row>
    <x:row r="18" ht="51" customHeight="1">
      <x:c r="A18" s="18" t="str">
        <x:v>SPring-8 / BL43LXU orientation recovery</x:v>
      </x:c>
      <x:c r="B18" s="17" t="str">
        <x:v>Local incident beam at the sample is the required reference. Published ω/χ/φ names do not establish signed vectors, full nesting or a universal Q convention.</x:v>
      </x:c>
      <x:c r="C18" s="17" t="str">
        <x:v>Official recovery procedure requires SPEC #O motor names, #P positions and the run’s orientation matrix / primary and secondary reflections. Full control mapping remains NV.</x:v>
      </x:c>
      <x:c r="D18" s="17" t="str">
        <x:v>Save those records with the sample mount and analyzer-channel geometry. Do not reconstruct UB from circle names or substitute sample ψ for the analyzer Ψ definition.</x:v>
      </x:c>
      <x:c r="E18" s="17" t="str">
        <x:v>R46, R45, R47</x:v>
      </x:c>
      <x:c r="F18" s="19" t="str">
        <x:f>IFERROR(HYPERLINK("https://beamline.harima.riken.jp/bl43lxu/pdfs/confirm_sample_orientation.pdf","R46: Confirming the Sample Orientation, Alfred Baron"),"R46: Confirming the Sample Orientation, Alfred Baron")</x:f>
        <x:v>R46: Confirming the Sample Orientation, Alfred Baron</x:v>
      </x:c>
      <x:c r="G18" s="19" t="str">
        <x:f>IFERROR(HYPERLINK("https://beamline.harima.riken.jp/bl43lxu/pdfs/advice_thin_films.pdf","R45: Measuring IXS from Thin Films, Alfred Baron"),"R45: Measuring IXS from Thin Films, Alfred Baron")</x:f>
        <x:v>R45: Measuring IXS from Thin Films, Alfred Baron</x:v>
      </x:c>
      <x:c r="H18" s="19" t="str">
        <x:f>IFERROR(HYPERLINK("https://beamline.harima.riken.jp/bl43lxu/pdfs/baron_ishikawa_practical_resolution_meV_jsr2021.pdf","R47: Practical measurement of the energy resolution for meV-resolved inelastic X-ray scattering, D. Ishikawa and A.Q.R. Baron"),"R47: Practical measurement of the energy resolution for meV-resolved inelastic X-ray scattering, D. Ishikawa and A.Q.R. Baron")</x:f>
        <x:v>R47: Practical measurement of the energy resolution for meV-resolved inelastic X-ray scattering, D. Ishikawa and A.Q.R. Baron</x:v>
      </x:c>
      <x:c r="I18" s="17" t="str"/>
      <x:c r="J18" s="17" t="str"/>
    </x:row>
  </x:sheetData>
  <x:pageMargins left="0.7" right="0.7" top="0.75" bottom="0.75" header="0.3" footer="0.3"/>
  <x:tableParts count="1">
    <x:tablePart xmlns:r="http://schemas.openxmlformats.org/officeDocument/2006/relationships" r:id="R988be41f184641df"/>
  </x:tableParts>
</x:worksheet>
</file>

<file path=xl/worksheets/sheet5.xml><?xml version="1.0" encoding="utf-8"?>
<x:worksheet xmlns:x="http://schemas.openxmlformats.org/spreadsheetml/2006/main">
  <x:sheetPr>
    <x:tabColor rgb="FF2544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.670000076293945" hidden="0" customWidth="1"/>
    <x:col min="2" max="2" width="66.66999816894531" hidden="0" customWidth="1"/>
    <x:col min="3" max="3" width="53.33000183105469" hidden="0" customWidth="1"/>
    <x:col min="4" max="4" width="63.33000183105469" hidden="0" customWidth="1"/>
    <x:col min="5" max="5" width="12.220000267028809" hidden="0" customWidth="1"/>
    <x:col min="6" max="6" width="34.439998626708984" hidden="0" customWidth="1"/>
    <x:col min="7" max="7" width="34.439998626708984" hidden="0" customWidth="1"/>
    <x:col min="8" max="8" width="34.439998626708984" hidden="0" customWidth="1"/>
    <x:col min="9" max="9" width="34.4399986267089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5" t="str">
        <x:v>Proposed common sample-mounting description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7" t="str">
        <x:v>A shared geometric representation for TAS and IXS. This is a proposed exchange model, not a claim that the facilities use identical native conventions.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8"/>
      <x:c r="B4" s="8"/>
      <x:c r="C4" s="8"/>
      <x:c r="D4" s="8"/>
      <x:c r="E4" s="8"/>
      <x:c r="F4" s="3"/>
      <x:c r="G4" s="3"/>
      <x:c r="H4" s="3"/>
      <x:c r="I4" s="3"/>
    </x:row>
    <x:row r="5" ht="44" customHeight="1">
      <x:c r="A5" s="12" t="str">
        <x:v>Item</x:v>
      </x:c>
      <x:c r="B5" s="13" t="str">
        <x:v>Common representation</x:v>
      </x:c>
      <x:c r="C5" s="13" t="str">
        <x:v>Why it is needed</x:v>
      </x:c>
      <x:c r="D5" s="13" t="str">
        <x:v>Instrument example / implementation rule</x:v>
      </x:c>
      <x:c r="E5" s="13" t="str">
        <x:v>Evidence</x:v>
      </x:c>
      <x:c r="F5" s="13" t="str">
        <x:v>Source 1</x:v>
      </x:c>
      <x:c r="G5" s="13" t="str">
        <x:v>Source 2</x:v>
      </x:c>
      <x:c r="H5" s="13" t="str">
        <x:v>Source 3</x:v>
      </x:c>
      <x:c r="I5" s="14" t="str">
        <x:v>Source 4</x:v>
      </x:c>
    </x:row>
    <x:row r="6" ht="51" customHeight="1">
      <x:c r="A6" s="18" t="str">
        <x:v>Reference laboratory frame</x:v>
      </x:c>
      <x:c r="B6" s="17" t="str">
        <x:v>+z along the incident beam at the sample; +y upward; +x completes the right-handed frame. Use an explicit origin at the nominal sample position.</x:v>
      </x:c>
      <x:c r="C6" s="17" t="str">
        <x:v>Neutrons and backscattered IXS optics may arrive from different facility directions. “Toward the source” is not a sufficient universal axis definition.</x:v>
      </x:c>
      <x:c r="D6" s="17" t="str">
        <x:v>Use NeXus/McStas’s beam/up convention for interchange; attach an explicit transform from each instrument’s native frame.</x:v>
      </x:c>
      <x:c r="E6" s="17" t="str">
        <x:v>R71</x:v>
      </x:c>
      <x:c r="F6" s="19" t="str">
        <x:f>IFERROR(HYPERLINK("https://manual.nexusformat.org/design.html","R71: NeXus manual: coordinate systems and transformations"),"R71: NeXus manual: coordinate systems and transformations")</x:f>
        <x:v>R71: NeXus manual: coordinate systems and transformations</x:v>
      </x:c>
      <x:c r="G6" s="17" t="str"/>
      <x:c r="H6" s="17" t="str"/>
      <x:c r="I6" s="17" t="str"/>
    </x:row>
    <x:row r="7" ht="43.5" customHeight="1">
      <x:c r="A7" s="23" t="str">
        <x:v>Physical axes, not Greek roles</x:v>
      </x:c>
      <x:c r="B7" s="22" t="str">
        <x:v>For each rotation: persistent role ID, original mnemonic, axis unit vector, parent/depends_on, pivot or offset, units, and limits.</x:v>
      </x:c>
      <x:c r="C7" s="22" t="str">
        <x:v>A psi label may be a turntable, an offset, a Q azimuth or even sample scattering. An axis definition removes that ambiguity.</x:v>
      </x:c>
      <x:c r="D7" s="22" t="str">
        <x:v>The adapter carries “sample outer rotation” separately from names A3, s1, sth, th or omega. NeXus NXtransformations supplies suitable fields.</x:v>
      </x:c>
      <x:c r="E7" s="22" t="str">
        <x:v>R72</x:v>
      </x:c>
      <x:c r="F7" s="24" t="str">
        <x:f>IFERROR(HYPERLINK("https://manual.nexusformat.org/classes/base_classes/NXtransformations.html","R72: NeXus NXtransformations base class"),"R72: NeXus NXtransformations base class")</x:f>
        <x:v>R72: NeXus NXtransformations base class</x:v>
      </x:c>
      <x:c r="G7" s="22" t="str"/>
      <x:c r="H7" s="22" t="str"/>
      <x:c r="I7" s="22" t="str"/>
    </x:row>
    <x:row r="8" ht="43.5" customHeight="1">
      <x:c r="A8" s="18" t="str">
        <x:v>Mechanical attachment order</x:v>
      </x:c>
      <x:c r="B8" s="17" t="str">
        <x:v>Store the full outer→inner chain and use active right-handed rotations in the exchange representation. Record any native passive convention and convert it.</x:v>
      </x:c>
      <x:c r="C8" s="17" t="str">
        <x:v>Rotations do not commute; swapping two arcs changes the crystal orientation. Inner axes rotate with their parents.</x:v>
      </x:c>
      <x:c r="D8" s="17" t="str">
        <x:v>TAVI: vertical → transverse → beam-axis tilts. ID28 standard: th → sphi → chi → optional adth. Do not replace either with a generic Euler order.</x:v>
      </x:c>
      <x:c r="E8" s="17" t="str">
        <x:v>R72, R31, R34</x:v>
      </x:c>
      <x:c r="F8" s="19" t="str">
        <x:f>IFERROR(HYPERLINK("https://manual.nexusformat.org/classes/base_classes/NXtransformations.html","R72: NeXus NXtransformations base class"),"R72: NeXus NXtransformations base class")</x:f>
        <x:v>R72: NeXus NXtransformations base class</x:v>
      </x:c>
      <x:c r="G8" s="19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  <x:c r="H8" s="19" t="str">
        <x:f>IFERROR(HYPERLINK("https://www.esrf.fr/UsersAndScience/Experiments/DynExtrCond/ID28/BeamlineLayout/EH1/Sample","R34: ESRF ID28 Sample goniometer"),"R34: ESRF ID28 Sample goniometer")</x:f>
        <x:v>R34: ESRF ID28 Sample goniometer</x:v>
      </x:c>
      <x:c r="I8" s="17" t="str"/>
    </x:row>
    <x:row r="9" ht="78" customHeight="1">
      <x:c r="A9" s="23" t="str">
        <x:v>Crystal at mechanical zero</x:v>
      </x:c>
      <x:c r="B9" s="22" t="str">
        <x:v>B maps hkl into a crystal Cartesian reciprocal frame. U0 rotates that orthonormal frame into the common mount/laboratory frame at physical stage zeros. State whether B includes 2π.</x:v>
      </x:c>
      <x:c r="C9" s="22" t="str">
        <x:v>A3=0 or th=0 need not align a particular crystal axis with the beam. Motor zero and crystal alignment are distinct.</x:v>
      </x:c>
      <x:c r="D9" s="22" t="str">
        <x:v>Use measured reflections to determine orientation; preserve orientation vectors as provenance. Convert UB between lab/zero conventions explicitly.</x:v>
      </x:c>
      <x:c r="E9" s="22" t="str">
        <x:v>R49, R65</x:v>
      </x:c>
      <x:c r="F9" s="24" t="str">
        <x:f>IFERROR(HYPERLINK("https://www.researchgate.net/publication/244635363_UB_matrix_implementation_for_inelastic_neutron_scattering_experiments","R49: M. D. Lumsden, J. L. Robertson and M. Yethiraj, UB matrix implementation for inelastic neutron scattering experiments, J. Appl. Cryst. 38, 405–411 (2005), DOI 10.1107/S0021889805004875"),"R49: M. D. Lumsden, J. L. Robertson and M. Yethiraj, UB matrix implementation for inelastic neutron scattering experiments, J. Appl. Cryst. 38, 405–411 (2005), DOI 10.1107/S0021889805004875")</x:f>
        <x:v>R49: M. D. Lumsden, J. L. Robertson and M. Yethiraj, UB matrix implementation for inelastic neutron scattering experiments, J. Appl. Cryst. 38, 405–411 (2005), DOI 10.1107/S0021889805004875</x:v>
      </x:c>
      <x:c r="G9" s="24" t="str">
        <x:f>IFERROR(HYPERLINK("https://spectroscopy.ornl.gov/ARCS/crystal_alignment/UBMatriximplementationnotes.pdf","R65: A. T. Savici, Introduction to the use the UB matrix (16 March 2011), ORNL"),"R65: A. T. Savici, Introduction to the use the UB matrix (16 March 2011), ORNL")</x:f>
        <x:v>R65: A. T. Savici, Introduction to the use the UB matrix (16 March 2011), ORNL</x:v>
      </x:c>
      <x:c r="H9" s="22" t="str"/>
      <x:c r="I9" s="22" t="str"/>
    </x:row>
    <x:row r="10" ht="51" customHeight="1">
      <x:c r="A10" s="18" t="str">
        <x:v>Proposed ideal mounting default</x:v>
      </x:c>
      <x:c r="B10" s="17" t="str">
        <x:v>Choose two non-collinear reciprocal vectors u and v. At zero stage angles, put Bu along incident +z and the normal (Bu × Bv) along vertical +y; the transverse component of Bv then points toward +x.</x:v>
      </x:c>
      <x:c r="C10" s="17" t="str">
        <x:v>This gives a concrete common reference for an ideal horizontal scattering-plane mount without choosing one crystallographic plane for every sample.</x:v>
      </x:c>
      <x:c r="D10" s="17" t="str">
        <x:v>Use this as an optional canonical default. Store a measured U0 for the actual mount, plus its surface/holder orientation. This is a proposal based on the common frame and orientation-vector approach, not a universal facility rule.</x:v>
      </x:c>
      <x:c r="E10" s="17" t="str">
        <x:v>R71, R06</x:v>
      </x:c>
      <x:c r="F10" s="19" t="str">
        <x:f>IFERROR(HYPERLINK("https://manual.nexusformat.org/design.html","R71: NeXus manual: coordinate systems and transformations"),"R71: NeXus manual: coordinate systems and transformations")</x:f>
        <x:v>R71: NeXus manual: coordinate systems and transformations</x:v>
      </x:c>
      <x:c r="G10" s="19" t="str">
        <x:f>IFERROR(HYPERLINK("https://www.psi.ch/fr/media/28664/download?attachment=","R06: SICS-MAD Reference Manual (Mark Könnecke, 18 July 2006)"),"R06: SICS-MAD Reference Manual (Mark Könnecke, 18 July 2006)")</x:f>
        <x:v>R06: SICS-MAD Reference Manual (Mark Könnecke, 18 July 2006)</x:v>
      </x:c>
      <x:c r="H10" s="17" t="str"/>
      <x:c r="I10" s="17" t="str"/>
    </x:row>
    <x:row r="11" ht="43.5" customHeight="1">
      <x:c r="A11" s="23" t="str">
        <x:v>Sample surface and mounting geometry</x:v>
      </x:c>
      <x:c r="B11" s="22" t="str">
        <x:v>Store the physical surface normal, holder-to-crystal transform, sample center, relevant translations and optional environment orientation separately from UB.</x:v>
      </x:c>
      <x:c r="C11" s="22" t="str">
        <x:v>IXS incidence, grazing geometry and DAC apertures depend on the physical sample and holder, not only the reciprocal lattice.</x:v>
      </x:c>
      <x:c r="D11" s="22" t="str">
        <x:v>A surface normal can be specified in crystal or mount coordinates with its frame stated. Centering translations are separate from angle corrections.</x:v>
      </x:c>
      <x:c r="E11" s="22" t="str">
        <x:v>R72, R34</x:v>
      </x:c>
      <x:c r="F11" s="24" t="str">
        <x:f>IFERROR(HYPERLINK("https://manual.nexusformat.org/classes/base_classes/NXtransformations.html","R72: NeXus NXtransformations base class"),"R72: NeXus NXtransformations base class")</x:f>
        <x:v>R72: NeXus NXtransformations base class</x:v>
      </x:c>
      <x:c r="G11" s="24" t="str">
        <x:f>IFERROR(HYPERLINK("https://www.esrf.fr/UsersAndScience/Experiments/DynExtrCond/ID28/BeamlineLayout/EH1/Sample","R34: ESRF ID28 Sample goniometer"),"R34: ESRF ID28 Sample goniometer")</x:f>
        <x:v>R34: ESRF ID28 Sample goniometer</x:v>
      </x:c>
      <x:c r="H11" s="22" t="str"/>
      <x:c r="I11" s="22" t="str"/>
    </x:row>
    <x:row r="12" ht="51" customHeight="1">
      <x:c r="A12" s="18" t="str">
        <x:v>Readout-to-physical conversion</x:v>
      </x:c>
      <x:c r="B12" s="17" t="str">
        <x:v>Store units, sign, zero offset, relative-axis coupling, periodicity and branch. For a simple stage use physical angle = sign × unit-converted readout + offset; use a documented coupled transform when needed.</x:v>
      </x:c>
      <x:c r="C12" s="17" t="str">
        <x:v>A direct alias cannot account for NICOS relative-theta motors, PUMA sample coupling or TAVI correction fields.</x:v>
      </x:c>
      <x:c r="D12" s="17" t="str">
        <x:v>Keep raw readings and converted physical angles together. Store configuration version and zero calibration rather than inferring from a facility name.</x:v>
      </x:c>
      <x:c r="E12" s="17" t="str">
        <x:v>R10, R11, R31</x:v>
      </x:c>
      <x:c r="F12" s="19" t="str">
        <x:f>IFERROR(HYPERLINK("https://github.com/mlz-ictrl/nicos/blob/ccee1a45a3981765a2fe64c75bdeff281091e733/nicos/devices/tas/mono.py","R10: NICOS monochromator/analyzer angle conversion"),"R10: NICOS monochromator/analyzer angle conversion")</x:f>
        <x:v>R10: NICOS monochromator/analyzer angle conversion</x:v>
      </x:c>
      <x:c r="G12" s="19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  <x:c r="H12" s="19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  <x:c r="I12" s="17" t="str"/>
    </x:row>
    <x:row r="13" ht="43.5" customHeight="1">
      <x:c r="A13" s="23" t="str">
        <x:v>Incident and outgoing rays</x:v>
      </x:c>
      <x:c r="B13" s="22" t="str">
        <x:v>Store ki, kf or their unit directions and energies. Each analyzer/detector channel gets its own calibrated ray direction and energy response.</x:v>
      </x:c>
      <x:c r="C13" s="22" t="str">
        <x:v>A whole-arm angle is not the direction of every analyzer in a bank. Sample scattering angle differs from internal analyzer Bragg angle.</x:v>
      </x:c>
      <x:c r="D13" s="22" t="str">
        <x:v>Derive Q from vectors using the declared sign. Distinguish sample-scattering angle from optical θB and from analyzer orientation trim.</x:v>
      </x:c>
      <x:c r="E13" s="22" t="str">
        <x:v>R65, R33</x:v>
      </x:c>
      <x:c r="F13" s="24" t="str">
        <x:f>IFERROR(HYPERLINK("https://spectroscopy.ornl.gov/ARCS/crystal_alignment/UBMatriximplementationnotes.pdf","R65: A. T. Savici, Introduction to the use the UB matrix (16 March 2011), ORNL"),"R65: A. T. Savici, Introduction to the use the UB matrix (16 March 2011), ORNL")</x:f>
        <x:v>R65: A. T. Savici, Introduction to the use the UB matrix (16 March 2011), ORNL</x:v>
      </x:c>
      <x:c r="G13" s="24" t="str">
        <x:f>IFERROR(HYPERLINK("https://www.esrf.fr/files/live/sites/www/files/UsersAndScience/Experiments/EMD/ID28/UserManual/Manuals/ID28teammanual_2015_10_29.pdf","R33: Inelastic X-ray Scattering Beam-line ID28, beamline team manual"),"R33: Inelastic X-ray Scattering Beam-line ID28, beamline team manual")</x:f>
        <x:v>R33: Inelastic X-ray Scattering Beam-line ID28, beamline team manual</x:v>
      </x:c>
      <x:c r="H13" s="22" t="str"/>
      <x:c r="I13" s="22" t="str"/>
    </x:row>
    <x:row r="14" ht="43.5" customHeight="1">
      <x:c r="A14" s="18" t="str">
        <x:v>Derived ψ, φ, χ and scan constraints</x:v>
      </x:c>
      <x:c r="B14" s="17" t="str">
        <x:v>Keep calculated geometry quantities in a separate namespace with a definition, reference vector/surface and singularity conditions.</x:v>
      </x:c>
      <x:c r="C14" s="17" t="str">
        <x:v>A scan of ψ about Q may coordinate several motors; it need not correspond to a physical psi stage.</x:v>
      </x:c>
      <x:c r="D14" s="17" t="str">
        <x:v>Preserve SPEC setaz reference, NICOS psi0/alpha and TAVI psi correction as different quantities. Native spelling remains available for the user.</x:v>
      </x:c>
      <x:c r="E14" s="17" t="str">
        <x:v>R58, R59, R11, R31</x:v>
      </x:c>
      <x:c r="F14" s="19" t="str">
        <x:f>IFERROR(HYPERLINK("https://www.certif.com/spec_manual/fourc_4_4_1_1_3.html","R58: Certified Scientific Software SPEC: Azimuth Fixed"),"R58: Certified Scientific Software SPEC: Azimuth Fixed")</x:f>
        <x:v>R58: Certified Scientific Software SPEC: Azimuth Fixed</x:v>
      </x:c>
      <x:c r="G14" s="19" t="str">
        <x:f>IFERROR(HYPERLINK("https://www.certif.com/spec_manual/fourc_4_9.html","R59: Certified Scientific Software SPEC: Four-Circle Variables"),"R59: Certified Scientific Software SPEC: Four-Circle Variables")</x:f>
        <x:v>R59: Certified Scientific Software SPEC: Four-Circle Variables</x:v>
      </x:c>
      <x:c r="H14" s="19" t="str">
        <x:f>IFERROR(HYPERLINK("https://github.com/mlz-ictrl/nicos/blob/ccee1a45a3981765a2fe64c75bdeff281091e733/nicos/devices/tas/cell.py","R11: NICOS TAS sample angle and coordinate transformations"),"R11: NICOS TAS sample angle and coordinate transformations")</x:f>
        <x:v>R11: NICOS TAS sample angle and coordinate transformations</x:v>
      </x:c>
      <x:c r="I14" s="19" t="str">
        <x:f>IFERROR(HYPERLINK("https://github.com/ammerritt-gh/TAVI-Triple-Axis-Virtual-Instrument/blob/4547acb69d0117839ba7d2b96e20fc43ab594c3d/docs/INSTRUMENT_LAYOUT.md","R31: TAVI instrument layout and sample mounting specification"),"R31: TAVI instrument layout and sample mounting specification")</x:f>
        <x:v>R31: TAVI instrument layout and sample mounting specification</x:v>
      </x:c>
    </x:row>
    <x:row r="15" ht="43.5" customHeight="1">
      <x:c r="A15" s="23" t="str">
        <x:v>Provenance and verification status</x:v>
      </x:c>
      <x:c r="B15" s="22" t="str">
        <x:v>Identify facility, instrument, control system, mode, era or commit, hardware attachment, source and confidence per field. Use NV separately from N/A.</x:v>
      </x:c>
      <x:c r="C15" s="22" t="str">
        <x:v>Names and channel reuse change across configurations. Missing documentation must not be interpreted as missing hardware.</x:v>
      </x:c>
      <x:c r="D15" s="22" t="str">
        <x:v>An instrument adapter is versioned evidence. Keep historical Brookhaven lookup variables, LLB diagram symbols and modern motor commands in distinct categories.</x:v>
      </x:c>
      <x:c r="E15" s="22" t="str"/>
      <x:c r="F15" s="22" t="str"/>
      <x:c r="G15" s="22" t="str"/>
      <x:c r="H15" s="22" t="str"/>
      <x:c r="I15" s="22" t="str"/>
    </x:row>
    <x:row r="17" ht="28.5" customHeight="1">
      <x:c r="A17" s="28" t="str">
        <x:v>Use one physical meaning for each field, and preserve the original mnemonic as metadata. The representation can describe two-tilt heads, Euler cradles, κ goniostats, extra sample rotations and fixed-channel analyzer banks without inventing universal ψ/φ/χ names.</x:v>
      </x:c>
      <x:c r="B17" s="28"/>
      <x:c r="C17" s="28"/>
      <x:c r="D17" s="28"/>
      <x:c r="E17" s="28"/>
    </x:row>
    <x:row r="18" ht="28.5" customHeight="1">
      <x:c r="A18" s="28" t="str">
        <x:v>Rotation composition (column vectors): g_lab = R_outer(a1) R_next(a2) … R_inner(an) U0 B h. Each axis is expressed in its parent frame; an outer stage carries the inner stages. Set whether B contains 2π. Fix the Q sign explicitly, for example Q=ki−kf, and convert imported data as required.</x:v>
      </x:c>
      <x:c r="B18" s="28"/>
      <x:c r="C18" s="28"/>
      <x:c r="D18" s="28"/>
      <x:c r="E18" s="28"/>
    </x:row>
    <x:row r="19" ht="28.5" customHeight="1">
      <x:c r="A19" s="28" t="str">
        <x:v>The model standardizes how a mount is described. It does not require every sample to be glued with the same crystallographic axis along the beam. The crystal-to-holder orientation and any surface normal are measured metadata.</x:v>
      </x:c>
      <x:c r="B19" s="28"/>
      <x:c r="C19" s="28"/>
      <x:c r="D19" s="28"/>
      <x:c r="E19" s="28"/>
    </x:row>
  </x:sheetData>
  <x:mergeCells>
    <x:mergeCell ref="A17:E17"/>
    <x:mergeCell ref="A18:E18"/>
    <x:mergeCell ref="A19:E19"/>
  </x:mergeCells>
  <x:pageMargins left="0.7" right="0.7" top="0.75" bottom="0.75" header="0.3" footer="0.3"/>
  <x:tableParts count="1">
    <x:tablePart xmlns:r="http://schemas.openxmlformats.org/officeDocument/2006/relationships" r:id="R5778fdfd089041f9"/>
  </x:tableParts>
</x:worksheet>
</file>